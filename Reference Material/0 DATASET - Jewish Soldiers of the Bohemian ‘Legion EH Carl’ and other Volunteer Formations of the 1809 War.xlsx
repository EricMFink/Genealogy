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166925"/>
  <mc:AlternateContent xmlns:mc="http://schemas.openxmlformats.org/markup-compatibility/2006">
    <mc:Choice Requires="x15">
      <x15ac:absPath xmlns:x15ac="http://schemas.microsoft.com/office/spreadsheetml/2010/11/ac" url="/Users/Ilya Files/Papers/Austrian Army - ZENODO Datasets/4 Jewish Soldiers of Legion EH Carl (1809)/"/>
    </mc:Choice>
  </mc:AlternateContent>
  <xr:revisionPtr revIDLastSave="0" documentId="13_ncr:1_{2B741F6D-743C-E549-AAC9-670CBBEDB22D}" xr6:coauthVersionLast="47" xr6:coauthVersionMax="47" xr10:uidLastSave="{00000000-0000-0000-0000-000000000000}"/>
  <bookViews>
    <workbookView xWindow="0" yWindow="0" windowWidth="28800" windowHeight="18000" xr2:uid="{67C57273-08CA-894D-B2DE-FA18829D3C0A}"/>
  </bookViews>
  <sheets>
    <sheet name="List of Soldiers" sheetId="1" r:id="rId1"/>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42" i="1" l="1"/>
  <c r="I42" i="1"/>
  <c r="T44" i="1"/>
  <c r="I44" i="1"/>
  <c r="T43" i="1"/>
  <c r="I43" i="1"/>
  <c r="T47" i="1"/>
  <c r="I55" i="1"/>
  <c r="I54" i="1"/>
  <c r="T52" i="1"/>
  <c r="I52" i="1"/>
  <c r="T50" i="1"/>
  <c r="I50" i="1"/>
  <c r="I49" i="1"/>
  <c r="T48" i="1"/>
  <c r="I48" i="1"/>
  <c r="T46" i="1"/>
  <c r="I46" i="1"/>
  <c r="T45" i="1"/>
  <c r="I45" i="1"/>
  <c r="T41" i="1"/>
  <c r="I41" i="1"/>
  <c r="T38" i="1"/>
  <c r="I38" i="1"/>
  <c r="T37" i="1"/>
  <c r="I37" i="1"/>
  <c r="T36" i="1"/>
  <c r="I36" i="1"/>
  <c r="I32" i="1"/>
  <c r="I29" i="1"/>
  <c r="T27" i="1"/>
  <c r="I27" i="1"/>
  <c r="T26" i="1"/>
  <c r="I26" i="1"/>
  <c r="I25" i="1"/>
  <c r="T23" i="1"/>
  <c r="I23" i="1"/>
  <c r="T22" i="1"/>
  <c r="I22" i="1"/>
  <c r="T21" i="1"/>
  <c r="I21" i="1"/>
  <c r="T15" i="1"/>
  <c r="I15" i="1"/>
  <c r="T19" i="1"/>
  <c r="I19" i="1"/>
  <c r="T17" i="1"/>
  <c r="I17" i="1"/>
  <c r="T16" i="1"/>
  <c r="I16" i="1"/>
  <c r="T13" i="1"/>
  <c r="I13" i="1"/>
  <c r="T12" i="1"/>
  <c r="I12" i="1"/>
  <c r="T10" i="1"/>
  <c r="I10" i="1"/>
  <c r="T9" i="1"/>
  <c r="I9" i="1"/>
  <c r="I8" i="1"/>
  <c r="I7" i="1"/>
  <c r="I6" i="1"/>
  <c r="I5" i="1"/>
  <c r="I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A1" authorId="0" shapeId="0" xr:uid="{FE586834-168E-E443-896B-54A496B832C4}">
      <text>
        <r>
          <rPr>
            <sz val="14"/>
            <color rgb="FF000000"/>
            <rFont val="+mn-lt"/>
            <charset val="1"/>
          </rPr>
          <t xml:space="preserve">[BLANK] - Officialy documented
</t>
        </r>
        <r>
          <rPr>
            <sz val="14"/>
            <color rgb="FF000000"/>
            <rFont val="+mn-lt"/>
            <charset val="1"/>
          </rPr>
          <t xml:space="preserve">
</t>
        </r>
        <r>
          <rPr>
            <sz val="14"/>
            <color rgb="FF000000"/>
            <rFont val="+mn-lt"/>
            <charset val="1"/>
          </rPr>
          <t xml:space="preserve">? - Not documented but likely
</t>
        </r>
      </text>
    </comment>
    <comment ref="C1" authorId="0" shapeId="0" xr:uid="{381E6C24-893A-3049-A63E-A6FA21FCF064}">
      <text>
        <r>
          <rPr>
            <b/>
            <i/>
            <sz val="18"/>
            <color rgb="FF000000"/>
            <rFont val="+mn-lt"/>
            <charset val="1"/>
          </rPr>
          <t>BORN AT</t>
        </r>
      </text>
    </comment>
    <comment ref="G1" authorId="0" shapeId="0" xr:uid="{52C0961E-379E-134F-999A-4FDA844FBED8}">
      <text>
        <r>
          <rPr>
            <b/>
            <i/>
            <sz val="18"/>
            <color rgb="FF000000"/>
            <rFont val="Calibri"/>
            <family val="2"/>
          </rPr>
          <t>Native-Born Habsburg Subject</t>
        </r>
      </text>
    </comment>
    <comment ref="H1" authorId="0" shapeId="0" xr:uid="{4C66BB3A-743D-9645-AD1F-94D342098988}">
      <text>
        <r>
          <rPr>
            <b/>
            <i/>
            <sz val="18"/>
            <color rgb="FF000000"/>
            <rFont val="Calibri"/>
            <family val="2"/>
          </rPr>
          <t>Foreigner</t>
        </r>
      </text>
    </comment>
    <comment ref="I1" authorId="0" shapeId="0" xr:uid="{1FB7B398-80C3-8848-B806-3E87C274D2CB}">
      <text>
        <r>
          <rPr>
            <b/>
            <i/>
            <sz val="18"/>
            <color rgb="FF000000"/>
            <rFont val="Calibri"/>
            <family val="2"/>
          </rPr>
          <t>Year of Birth</t>
        </r>
        <r>
          <rPr>
            <sz val="10"/>
            <color rgb="FF000000"/>
            <rFont val="Calibri"/>
            <family val="2"/>
          </rPr>
          <t xml:space="preserve">
</t>
        </r>
        <r>
          <rPr>
            <sz val="14"/>
            <color rgb="FF000000"/>
            <rFont val="Calibri"/>
            <family val="34"/>
          </rPr>
          <t>N.B. Discrepanices between different documents are noted in individual fields.</t>
        </r>
      </text>
    </comment>
    <comment ref="J1" authorId="0" shapeId="0" xr:uid="{6F470D5D-4959-3A4C-A4C7-6B77D7076046}">
      <text>
        <r>
          <rPr>
            <b/>
            <i/>
            <sz val="18"/>
            <color rgb="FF000000"/>
            <rFont val="Calibri"/>
            <family val="2"/>
          </rPr>
          <t xml:space="preserve">Personal Status
</t>
        </r>
        <r>
          <rPr>
            <i/>
            <sz val="14"/>
            <color rgb="FF000000"/>
            <rFont val="Calibri"/>
            <family val="2"/>
          </rPr>
          <t>Ledig</t>
        </r>
        <r>
          <rPr>
            <sz val="14"/>
            <color rgb="FF000000"/>
            <rFont val="Calibri"/>
            <family val="2"/>
          </rPr>
          <t xml:space="preserve"> - Single
</t>
        </r>
        <r>
          <rPr>
            <i/>
            <sz val="14"/>
            <color rgb="FF000000"/>
            <rFont val="Calibri"/>
            <family val="2"/>
          </rPr>
          <t>Verheiratet</t>
        </r>
        <r>
          <rPr>
            <sz val="14"/>
            <color rgb="FF000000"/>
            <rFont val="Calibri"/>
            <family val="2"/>
          </rPr>
          <t xml:space="preserve"> - Married</t>
        </r>
      </text>
    </comment>
    <comment ref="K1" authorId="0" shapeId="0" xr:uid="{5BEF9027-E783-2C4F-85FA-D1E88248A977}">
      <text>
        <r>
          <rPr>
            <b/>
            <i/>
            <sz val="18"/>
            <color rgb="FF000000"/>
            <rFont val="Calibri"/>
            <family val="2"/>
          </rPr>
          <t xml:space="preserve">Profession
</t>
        </r>
        <r>
          <rPr>
            <i/>
            <sz val="14"/>
            <color rgb="FF000000"/>
            <rFont val="Calibri"/>
            <family val="2"/>
          </rPr>
          <t>Ohne</t>
        </r>
        <r>
          <rPr>
            <sz val="14"/>
            <color rgb="FF000000"/>
            <rFont val="Calibri"/>
            <family val="2"/>
          </rPr>
          <t xml:space="preserve"> - None
</t>
        </r>
        <r>
          <rPr>
            <i/>
            <sz val="14"/>
            <color rgb="FF000000"/>
            <rFont val="Calibri"/>
            <family val="2"/>
          </rPr>
          <t>Fischer</t>
        </r>
        <r>
          <rPr>
            <sz val="14"/>
            <color rgb="FF000000"/>
            <rFont val="Calibri"/>
            <family val="2"/>
          </rPr>
          <t xml:space="preserve"> - Fisherman
</t>
        </r>
        <r>
          <rPr>
            <i/>
            <sz val="14"/>
            <color rgb="FF000000"/>
            <rFont val="Calibri"/>
            <family val="2"/>
          </rPr>
          <t>Fleischhacker</t>
        </r>
        <r>
          <rPr>
            <sz val="14"/>
            <color rgb="FF000000"/>
            <rFont val="Calibri"/>
            <family val="2"/>
          </rPr>
          <t xml:space="preserve"> - Butcher
</t>
        </r>
        <r>
          <rPr>
            <i/>
            <sz val="14"/>
            <color rgb="FF000000"/>
            <rFont val="Calibri"/>
            <family val="2"/>
          </rPr>
          <t>Gläßer</t>
        </r>
        <r>
          <rPr>
            <sz val="14"/>
            <color rgb="FF000000"/>
            <rFont val="Calibri"/>
            <family val="2"/>
          </rPr>
          <t xml:space="preserve"> - Glazier
</t>
        </r>
        <r>
          <rPr>
            <i/>
            <sz val="14"/>
            <color rgb="FF000000"/>
            <rFont val="Calibri"/>
            <family val="2"/>
          </rPr>
          <t>Marquer</t>
        </r>
        <r>
          <rPr>
            <sz val="14"/>
            <color rgb="FF000000"/>
            <rFont val="Calibri"/>
            <family val="2"/>
          </rPr>
          <t xml:space="preserve"> - Billiard marker
</t>
        </r>
        <r>
          <rPr>
            <i/>
            <sz val="14"/>
            <color rgb="FF000000"/>
            <rFont val="Calibri"/>
            <family val="2"/>
          </rPr>
          <t>Rotgerber</t>
        </r>
        <r>
          <rPr>
            <sz val="14"/>
            <color rgb="FF000000"/>
            <rFont val="Calibri"/>
            <family val="2"/>
          </rPr>
          <t xml:space="preserve"> - Tanner</t>
        </r>
      </text>
    </comment>
    <comment ref="L1" authorId="0" shapeId="0" xr:uid="{199EF512-286F-334D-9720-33B709EFC470}">
      <text>
        <r>
          <rPr>
            <b/>
            <i/>
            <sz val="18"/>
            <color rgb="FF000000"/>
            <rFont val="Calibri"/>
            <family val="34"/>
          </rPr>
          <t xml:space="preserve">Soldiers' Wives
</t>
        </r>
        <r>
          <rPr>
            <i/>
            <sz val="14"/>
            <color rgb="FF000000"/>
            <rFont val="Calibri"/>
            <family val="34"/>
          </rPr>
          <t>Präsent</t>
        </r>
        <r>
          <rPr>
            <sz val="14"/>
            <color rgb="FF000000"/>
            <rFont val="Calibri"/>
            <family val="34"/>
          </rPr>
          <t xml:space="preserve"> - The wife is with the military unit
</t>
        </r>
        <r>
          <rPr>
            <i/>
            <sz val="14"/>
            <color rgb="FF000000"/>
            <rFont val="Calibri"/>
            <family val="34"/>
          </rPr>
          <t>Absent</t>
        </r>
        <r>
          <rPr>
            <sz val="14"/>
            <color rgb="FF000000"/>
            <rFont val="Calibri"/>
            <family val="34"/>
          </rPr>
          <t xml:space="preserve"> - The wife is away from the military unit
</t>
        </r>
        <r>
          <rPr>
            <i/>
            <sz val="14"/>
            <color rgb="FF000000"/>
            <rFont val="Calibri"/>
            <family val="34"/>
          </rPr>
          <t xml:space="preserve">Außer der Militär-Jurisdiktion </t>
        </r>
        <r>
          <rPr>
            <sz val="14"/>
            <color rgb="FF000000"/>
            <rFont val="Calibri"/>
            <family val="34"/>
          </rPr>
          <t>- The wife does not formally belong to the military community remaining under civilian jurisdition.</t>
        </r>
      </text>
    </comment>
    <comment ref="O1" authorId="0" shapeId="0" xr:uid="{382AF2AD-3F9A-BA42-9BDB-B8712001857A}">
      <text>
        <r>
          <rPr>
            <b/>
            <i/>
            <sz val="18"/>
            <color rgb="FF000000"/>
            <rFont val="Calibri"/>
            <family val="34"/>
          </rPr>
          <t xml:space="preserve">Soldiers' Children
</t>
        </r>
        <r>
          <rPr>
            <sz val="14"/>
            <color rgb="FF000000"/>
            <rFont val="Calibri"/>
            <family val="34"/>
          </rPr>
          <t xml:space="preserve">Knaben - Sons
</t>
        </r>
        <r>
          <rPr>
            <sz val="14"/>
            <color rgb="FF000000"/>
            <rFont val="Calibri"/>
            <family val="34"/>
          </rPr>
          <t>Mädchen - Daughters</t>
        </r>
      </text>
    </comment>
    <comment ref="Q1" authorId="0" shapeId="0" xr:uid="{10A3ACE8-8D68-8B45-941A-5F9CC6046E8F}">
      <text>
        <r>
          <rPr>
            <b/>
            <i/>
            <sz val="18"/>
            <color rgb="FF000000"/>
            <rFont val="+mn-lt"/>
            <charset val="1"/>
          </rPr>
          <t>Height</t>
        </r>
        <r>
          <rPr>
            <b/>
            <sz val="18"/>
            <color rgb="FF000000"/>
            <rFont val="+mn-lt"/>
            <charset val="1"/>
          </rPr>
          <t xml:space="preserve"> (in Theresian feet)
</t>
        </r>
        <r>
          <rPr>
            <sz val="14"/>
            <color rgb="FF000000"/>
            <rFont val="+mn-lt"/>
            <charset val="1"/>
          </rPr>
          <t xml:space="preserve">1 Schuh=12 Zoll=144 Strich 
</t>
        </r>
        <r>
          <rPr>
            <sz val="14"/>
            <color rgb="FF000000"/>
            <rFont val="+mn-lt"/>
            <charset val="1"/>
          </rPr>
          <t>1 Zoll = 12 Strich</t>
        </r>
      </text>
    </comment>
    <comment ref="BF1" authorId="0" shapeId="0" xr:uid="{24752D28-E507-2949-88ED-87EF6843A532}">
      <text>
        <r>
          <rPr>
            <sz val="14"/>
            <color rgb="FF000000"/>
            <rFont val="+mn-lt"/>
            <charset val="1"/>
          </rPr>
          <t xml:space="preserve">F - Reconstructed in full
</t>
        </r>
        <r>
          <rPr>
            <sz val="14"/>
            <color rgb="FF000000"/>
            <rFont val="+mn-lt"/>
            <charset val="1"/>
          </rPr>
          <t xml:space="preserve">P - Reconstructed in part
</t>
        </r>
        <r>
          <rPr>
            <sz val="14"/>
            <color rgb="FF000000"/>
            <rFont val="+mn-lt"/>
            <charset val="1"/>
          </rPr>
          <t xml:space="preserve">
</t>
        </r>
        <r>
          <rPr>
            <sz val="14"/>
            <color rgb="FF000000"/>
            <rFont val="+mn-lt"/>
            <charset val="1"/>
          </rPr>
          <t xml:space="preserve">N.B. To see the service itineraries place the cursor directly on the field of each individual soldier.
</t>
        </r>
      </text>
    </comment>
    <comment ref="BG1" authorId="0" shapeId="0" xr:uid="{507099FB-5A46-A644-8E09-6703DE8D8E49}">
      <text>
        <r>
          <rPr>
            <sz val="14"/>
            <color rgb="FF000000"/>
            <rFont val="Calibri"/>
            <family val="34"/>
          </rPr>
          <t xml:space="preserve">Unless noted otherwise, the original records are from
</t>
        </r>
        <r>
          <rPr>
            <sz val="14"/>
            <color rgb="FF000000"/>
            <rFont val="Calibri"/>
            <family val="34"/>
          </rPr>
          <t>- Austrian State Archives [</t>
        </r>
        <r>
          <rPr>
            <i/>
            <sz val="14"/>
            <color rgb="FF000000"/>
            <rFont val="Calibri"/>
            <family val="34"/>
          </rPr>
          <t>Österreichisches Staatsarchiv</t>
        </r>
        <r>
          <rPr>
            <sz val="14"/>
            <color rgb="FF000000"/>
            <rFont val="Calibri"/>
            <family val="34"/>
          </rPr>
          <t xml:space="preserve">] 
</t>
        </r>
        <r>
          <rPr>
            <sz val="14"/>
            <color rgb="FF000000"/>
            <rFont val="Calibri"/>
            <family val="34"/>
          </rPr>
          <t>- Military Archive [</t>
        </r>
        <r>
          <rPr>
            <i/>
            <sz val="14"/>
            <color rgb="FF000000"/>
            <rFont val="Calibri"/>
            <family val="34"/>
          </rPr>
          <t>Kriegsarchiv</t>
        </r>
        <r>
          <rPr>
            <sz val="14"/>
            <color rgb="FF000000"/>
            <rFont val="Calibri"/>
            <family val="34"/>
          </rPr>
          <t xml:space="preserve">]
</t>
        </r>
        <r>
          <rPr>
            <i/>
            <sz val="14"/>
            <color rgb="FF000000"/>
            <rFont val="Calibri"/>
            <family val="34"/>
          </rPr>
          <t xml:space="preserve">- Personalunterlagen
</t>
        </r>
        <r>
          <rPr>
            <i/>
            <sz val="14"/>
            <color rgb="FF000000"/>
            <rFont val="Calibri"/>
            <family val="34"/>
          </rPr>
          <t xml:space="preserve">- Musterlisten und Standestabellen der k. k. Armee 
</t>
        </r>
        <r>
          <rPr>
            <sz val="14"/>
            <color rgb="FF000000"/>
            <rFont val="Calibri"/>
            <family val="34"/>
          </rPr>
          <t xml:space="preserve">Abbreviated as: ÖSTA KA ML 
</t>
        </r>
        <r>
          <rPr>
            <sz val="14"/>
            <color rgb="FF000000"/>
            <rFont val="Calibri"/>
            <family val="34"/>
          </rPr>
          <t xml:space="preserve">- </t>
        </r>
        <r>
          <rPr>
            <i/>
            <sz val="14"/>
            <color rgb="FF000000"/>
            <rFont val="Calibri"/>
            <family val="34"/>
          </rPr>
          <t xml:space="preserve">Militärische Grundbuchsevidenz
</t>
        </r>
        <r>
          <rPr>
            <sz val="14"/>
            <color rgb="FF000000"/>
            <rFont val="Calibri"/>
            <family val="34"/>
          </rPr>
          <t xml:space="preserve">Abbreviated as: ÖSTA KA GB 
</t>
        </r>
        <r>
          <rPr>
            <sz val="14"/>
            <color rgb="FF000000"/>
            <rFont val="Calibri"/>
            <family val="34"/>
          </rPr>
          <t xml:space="preserve">
</t>
        </r>
      </text>
    </comment>
    <comment ref="BH1" authorId="0" shapeId="0" xr:uid="{59B3D215-B8AF-3C44-8BE5-08FCF63AB824}">
      <text>
        <r>
          <rPr>
            <sz val="14"/>
            <color rgb="FF000000"/>
            <rFont val="Calibri"/>
            <family val="2"/>
          </rPr>
          <t xml:space="preserve">Buk FK- Bukovina </t>
        </r>
        <r>
          <rPr>
            <i/>
            <sz val="14"/>
            <color rgb="FF000000"/>
            <rFont val="Calibri"/>
            <family val="2"/>
          </rPr>
          <t xml:space="preserve">Freikorps
</t>
        </r>
        <r>
          <rPr>
            <sz val="14"/>
            <color rgb="FF000000"/>
            <rFont val="Calibri"/>
            <family val="2"/>
          </rPr>
          <t xml:space="preserve">EGal FB- East Galician Free Battalion
</t>
        </r>
        <r>
          <rPr>
            <sz val="14"/>
            <color rgb="FF000000"/>
            <rFont val="Calibri"/>
            <family val="2"/>
          </rPr>
          <t xml:space="preserve">FW - </t>
        </r>
        <r>
          <rPr>
            <i/>
            <sz val="14"/>
            <color rgb="FF000000"/>
            <rFont val="Calibri"/>
            <family val="2"/>
          </rPr>
          <t xml:space="preserve">Freiwillige
</t>
        </r>
        <r>
          <rPr>
            <sz val="14"/>
            <color rgb="FF000000"/>
            <rFont val="Calibri"/>
            <family val="2"/>
          </rPr>
          <t>IR</t>
        </r>
        <r>
          <rPr>
            <i/>
            <sz val="14"/>
            <color rgb="FF000000"/>
            <rFont val="Calibri"/>
            <family val="2"/>
          </rPr>
          <t xml:space="preserve"> </t>
        </r>
        <r>
          <rPr>
            <sz val="14"/>
            <color rgb="FF000000"/>
            <rFont val="Calibri"/>
            <family val="2"/>
          </rPr>
          <t xml:space="preserve">- Line Infantry Regiment
</t>
        </r>
        <r>
          <rPr>
            <sz val="14"/>
            <color rgb="FF000000"/>
            <rFont val="Calibri"/>
            <family val="2"/>
          </rPr>
          <t xml:space="preserve">LWB Landwehr Battalion
</t>
        </r>
        <r>
          <rPr>
            <sz val="14"/>
            <color rgb="FF000000"/>
            <rFont val="Calibri"/>
            <family val="2"/>
          </rPr>
          <t xml:space="preserve">MFWK - Military Transport Corps
</t>
        </r>
        <r>
          <rPr>
            <sz val="14"/>
            <color rgb="FF000000"/>
            <rFont val="Calibri"/>
            <family val="2"/>
          </rPr>
          <t>WGal FB - West Galician Free Battalion</t>
        </r>
      </text>
    </comment>
    <comment ref="BI1" authorId="0" shapeId="0" xr:uid="{7A1B6391-77F8-FB44-A1B4-DF867732BA5F}">
      <text>
        <r>
          <rPr>
            <b/>
            <i/>
            <sz val="18"/>
            <color rgb="FF000000"/>
            <rFont val="Calibri"/>
            <family val="34"/>
          </rPr>
          <t xml:space="preserve">CONDUCT
</t>
        </r>
        <r>
          <rPr>
            <sz val="14"/>
            <color rgb="FF000000"/>
            <rFont val="Calibri"/>
            <family val="34"/>
          </rPr>
          <t xml:space="preserve">Sehr Gut - Very Good
</t>
        </r>
        <r>
          <rPr>
            <sz val="14"/>
            <color rgb="FF000000"/>
            <rFont val="Calibri"/>
            <family val="34"/>
          </rPr>
          <t xml:space="preserve">Gut - Good
</t>
        </r>
        <r>
          <rPr>
            <sz val="14"/>
            <color rgb="FF000000"/>
            <rFont val="Calibri"/>
            <family val="34"/>
          </rPr>
          <t>Mittelmäßig - Mediocre</t>
        </r>
      </text>
    </comment>
    <comment ref="BJ1" authorId="0" shapeId="0" xr:uid="{FC7850A0-810D-B24A-A71D-288684C4649B}">
      <text>
        <r>
          <rPr>
            <b/>
            <i/>
            <sz val="18"/>
            <color rgb="FF000000"/>
            <rFont val="Calibri"/>
            <family val="34"/>
          </rPr>
          <t>Medical Condition</t>
        </r>
      </text>
    </comment>
    <comment ref="CQ1" authorId="0" shapeId="0" xr:uid="{FDDABAC2-F3D0-A842-BBCF-FDFC8D9A4EE4}">
      <text>
        <r>
          <rPr>
            <sz val="12"/>
            <color rgb="FF000000"/>
            <rFont val="+mn-lt"/>
            <charset val="1"/>
          </rPr>
          <t xml:space="preserve">Decorated with the </t>
        </r>
        <r>
          <rPr>
            <b/>
            <sz val="10"/>
            <color rgb="FF000000"/>
            <rFont val="Calibri"/>
            <family val="2"/>
            <scheme val="minor"/>
          </rPr>
          <t>Army Cross for the Wars' of 1813–14</t>
        </r>
        <r>
          <rPr>
            <sz val="10"/>
            <color rgb="FF000000"/>
            <rFont val="Calibri"/>
            <family val="2"/>
            <scheme val="minor"/>
          </rPr>
          <t xml:space="preserve"> (colloquially '</t>
        </r>
        <r>
          <rPr>
            <b/>
            <sz val="10"/>
            <color rgb="FF000000"/>
            <rFont val="Calibri"/>
            <family val="2"/>
            <scheme val="minor"/>
          </rPr>
          <t>Cannon Cross</t>
        </r>
        <r>
          <rPr>
            <sz val="10"/>
            <color rgb="FF000000"/>
            <rFont val="Calibri"/>
            <family val="2"/>
            <scheme val="minor"/>
          </rPr>
          <t xml:space="preserve">'). </t>
        </r>
      </text>
    </comment>
    <comment ref="C2" authorId="0" shapeId="0" xr:uid="{7A56F1FB-193E-4C42-9634-C2587AB37378}">
      <text>
        <r>
          <rPr>
            <b/>
            <i/>
            <sz val="18"/>
            <color rgb="FF000000"/>
            <rFont val="Calibri"/>
            <family val="34"/>
          </rPr>
          <t>PLACE</t>
        </r>
        <r>
          <rPr>
            <sz val="14"/>
            <color rgb="FF000000"/>
            <rFont val="Calibri"/>
            <family val="34"/>
          </rPr>
          <t xml:space="preserve">
</t>
        </r>
        <r>
          <rPr>
            <sz val="14"/>
            <color rgb="FF000000"/>
            <rFont val="Calibri"/>
            <family val="34"/>
          </rPr>
          <t xml:space="preserve">LINK - Identified and geo-referenced  to the modern locality and state via geonames.org
</t>
        </r>
        <r>
          <rPr>
            <i/>
            <sz val="14"/>
            <color rgb="FF000000"/>
            <rFont val="Calibri"/>
            <family val="34"/>
          </rPr>
          <t xml:space="preserve">ITALICS </t>
        </r>
        <r>
          <rPr>
            <sz val="14"/>
            <color rgb="FF000000"/>
            <rFont val="Calibri"/>
            <family val="34"/>
          </rPr>
          <t>- Could not be identified; place name provided verbatim as in the original document</t>
        </r>
      </text>
    </comment>
    <comment ref="D2" authorId="0" shapeId="0" xr:uid="{EE9D6D1F-FE30-114F-AC1A-8ECF40195AF1}">
      <text>
        <r>
          <rPr>
            <b/>
            <i/>
            <sz val="18"/>
            <color rgb="FF000000"/>
            <rFont val="Calibri"/>
            <family val="34"/>
          </rPr>
          <t xml:space="preserve">MANOR
</t>
        </r>
        <r>
          <rPr>
            <sz val="14"/>
            <color rgb="FF000000"/>
            <rFont val="Calibri"/>
            <family val="34"/>
          </rPr>
          <t xml:space="preserve">LINK - Identified and geo-referenced  to the modern locality and state via geonames.org
</t>
        </r>
        <r>
          <rPr>
            <sz val="14"/>
            <color rgb="FF000000"/>
            <rFont val="Calibri"/>
            <family val="34"/>
          </rPr>
          <t>BLANK - Missing from the sources</t>
        </r>
      </text>
    </comment>
    <comment ref="E2" authorId="0" shapeId="0" xr:uid="{BE645B68-0EEF-FF45-8127-84ADAF21EEA6}">
      <text>
        <r>
          <rPr>
            <b/>
            <i/>
            <sz val="18"/>
            <color rgb="FF000000"/>
            <rFont val="Calibri"/>
            <family val="34"/>
          </rPr>
          <t xml:space="preserve">DISTRICT
</t>
        </r>
        <r>
          <rPr>
            <sz val="14"/>
            <color rgb="FF000000"/>
            <rFont val="Calibri"/>
            <family val="34"/>
          </rPr>
          <t>This rubric is relevant primarily for native born Habsburg subjects.</t>
        </r>
      </text>
    </comment>
    <comment ref="F2" authorId="0" shapeId="0" xr:uid="{25137487-5BB6-8E4F-BD1C-47DB06AE3158}">
      <text>
        <r>
          <rPr>
            <b/>
            <i/>
            <sz val="18"/>
            <color rgb="FF000000"/>
            <rFont val="Calibri"/>
            <family val="34"/>
          </rPr>
          <t>LAND</t>
        </r>
        <r>
          <rPr>
            <b/>
            <sz val="14"/>
            <color rgb="FF000000"/>
            <rFont val="Calibri"/>
            <family val="34"/>
          </rPr>
          <t xml:space="preserve">
</t>
        </r>
        <r>
          <rPr>
            <sz val="14"/>
            <color rgb="FF000000"/>
            <rFont val="Calibri"/>
            <family val="34"/>
          </rPr>
          <t xml:space="preserve">This rubric gives the province of birth for native-born Habsburg subjects, and foreign state (or region) for foriegners. </t>
        </r>
      </text>
    </comment>
    <comment ref="BF4" authorId="0" shapeId="0" xr:uid="{1C79DA9F-27C8-FB4C-9C44-890CADC60C12}">
      <text>
        <r>
          <rPr>
            <sz val="14"/>
            <color rgb="FF000000"/>
            <rFont val="Times New Roman"/>
            <family val="18"/>
          </rPr>
          <t xml:space="preserve">06/03/1809 </t>
        </r>
        <r>
          <rPr>
            <i/>
            <sz val="14"/>
            <color rgb="FF000000"/>
            <rFont val="Times New Roman"/>
            <family val="18"/>
          </rPr>
          <t>Von Prager Landwehr Bataillon sich freiwillig zur EH Carl Legion 2. Bataillon gegen 3Fl gestellt und zum 4. Companie zugeteilt</t>
        </r>
        <r>
          <rPr>
            <sz val="14"/>
            <color rgb="FF000000"/>
            <rFont val="Times New Roman"/>
            <family val="18"/>
          </rPr>
          <t xml:space="preserve"> [AL 1809 &amp; ST March 1809]</t>
        </r>
        <r>
          <rPr>
            <sz val="14"/>
            <color rgb="FF000000"/>
            <rFont val="Calibri"/>
            <family val="34"/>
          </rPr>
          <t xml:space="preserve">
</t>
        </r>
        <r>
          <rPr>
            <sz val="14"/>
            <color rgb="FF000000"/>
            <rFont val="Times New Roman"/>
            <family val="18"/>
          </rPr>
          <t xml:space="preserve">01/04/1809 </t>
        </r>
        <r>
          <rPr>
            <i/>
            <sz val="14"/>
            <color rgb="FF000000"/>
            <rFont val="Times New Roman"/>
            <family val="18"/>
          </rPr>
          <t>Von Gemeiner zum Gefreyter avanciert</t>
        </r>
        <r>
          <rPr>
            <sz val="14"/>
            <color rgb="FF000000"/>
            <rFont val="Times New Roman"/>
            <family val="18"/>
          </rPr>
          <t xml:space="preserve"> [ST April 1809]</t>
        </r>
        <r>
          <rPr>
            <sz val="14"/>
            <color rgb="FF000000"/>
            <rFont val="Calibri"/>
            <family val="34"/>
          </rPr>
          <t xml:space="preserve">
</t>
        </r>
        <r>
          <rPr>
            <sz val="14"/>
            <color rgb="FF000000"/>
            <rFont val="Times New Roman"/>
            <family val="18"/>
          </rPr>
          <t xml:space="preserve">01/06/1809 </t>
        </r>
        <r>
          <rPr>
            <i/>
            <sz val="14"/>
            <color rgb="FF000000"/>
            <rFont val="Times New Roman"/>
            <family val="18"/>
          </rPr>
          <t>Von Gefreiter zum Corporal avanciert</t>
        </r>
        <r>
          <rPr>
            <sz val="14"/>
            <color rgb="FF000000"/>
            <rFont val="Times New Roman"/>
            <family val="18"/>
          </rPr>
          <t xml:space="preserve"> [ST June 1809]</t>
        </r>
        <r>
          <rPr>
            <sz val="14"/>
            <color rgb="FF000000"/>
            <rFont val="Calibri"/>
            <family val="34"/>
          </rPr>
          <t xml:space="preserve">
</t>
        </r>
        <r>
          <rPr>
            <sz val="14"/>
            <color rgb="FF000000"/>
            <rFont val="Times New Roman"/>
            <family val="18"/>
          </rPr>
          <t xml:space="preserve">31/10/1809 </t>
        </r>
        <r>
          <rPr>
            <i/>
            <sz val="14"/>
            <color rgb="FF000000"/>
            <rFont val="Times New Roman"/>
            <family val="18"/>
          </rPr>
          <t>Von 4. Zum 6 Komp. transferiert</t>
        </r>
        <r>
          <rPr>
            <sz val="14"/>
            <color rgb="FF000000"/>
            <rFont val="Times New Roman"/>
            <family val="18"/>
          </rPr>
          <t xml:space="preserve"> [ST Nov 1809]</t>
        </r>
        <r>
          <rPr>
            <sz val="14"/>
            <color rgb="FF000000"/>
            <rFont val="Calibri"/>
            <family val="34"/>
          </rPr>
          <t xml:space="preserve">
</t>
        </r>
        <r>
          <rPr>
            <sz val="14"/>
            <color rgb="FF000000"/>
            <rFont val="Times New Roman"/>
            <family val="18"/>
          </rPr>
          <t xml:space="preserve">23/01/1810 </t>
        </r>
        <r>
          <rPr>
            <i/>
            <sz val="14"/>
            <color rgb="FF000000"/>
            <rFont val="Times New Roman"/>
            <family val="18"/>
          </rPr>
          <t>Als Freiwillig auf die Kriegsdauer gestellte mit Abschied Entlassen</t>
        </r>
        <r>
          <rPr>
            <sz val="14"/>
            <color rgb="FF000000"/>
            <rFont val="Times New Roman"/>
            <family val="18"/>
          </rPr>
          <t xml:space="preserve"> [ST Jan 1810]</t>
        </r>
        <r>
          <rPr>
            <b/>
            <sz val="14"/>
            <color rgb="FF000000"/>
            <rFont val="Times New Roman"/>
            <family val="18"/>
          </rPr>
          <t xml:space="preserve"> </t>
        </r>
      </text>
    </comment>
    <comment ref="BG4" authorId="0" shapeId="0" xr:uid="{F0EF26CD-66C9-614B-BE38-A2BDCDAD364F}">
      <text>
        <r>
          <rPr>
            <sz val="14"/>
            <color rgb="FF000000"/>
            <rFont val="Times New Roman"/>
            <family val="18"/>
          </rPr>
          <t>ML 10.815 EH Carl FK (1809-10) – AL Nr. 57 (Prague 06/03/1809), ST March (Prague 21/06/1809); ST April (18/07/1809), ST June (Prague 04/11/1809), ST Nov (30/08/1810), ST Jan 1810 (??)</t>
        </r>
        <r>
          <rPr>
            <sz val="14"/>
            <color rgb="FF000000"/>
            <rFont val="Calibri"/>
            <family val="34"/>
          </rPr>
          <t xml:space="preserve">
</t>
        </r>
      </text>
    </comment>
    <comment ref="BH4" authorId="0" shapeId="0" xr:uid="{6CF20048-ED36-B74D-A956-440AAF414BDE}">
      <text>
        <r>
          <rPr>
            <sz val="14"/>
            <color rgb="FF000000"/>
            <rFont val="Calibri"/>
            <family val="34"/>
          </rPr>
          <t xml:space="preserve">Prag LWB (1808-1809)
</t>
        </r>
        <r>
          <rPr>
            <sz val="14"/>
            <color rgb="FF000000"/>
            <rFont val="Calibri"/>
            <family val="34"/>
          </rPr>
          <t>Legion EH Carl (1809-1810)</t>
        </r>
      </text>
    </comment>
    <comment ref="BF5" authorId="0" shapeId="0" xr:uid="{EBEDB719-7FA9-D941-A35F-796E4AD03223}">
      <text>
        <r>
          <rPr>
            <sz val="14"/>
            <color rgb="FF000000"/>
            <rFont val="Times New Roman"/>
            <family val="18"/>
          </rPr>
          <t xml:space="preserve">06/03/1809 </t>
        </r>
        <r>
          <rPr>
            <i/>
            <sz val="14"/>
            <color rgb="FF000000"/>
            <rFont val="Times New Roman"/>
            <family val="18"/>
          </rPr>
          <t>Von 1. Rakonitzer Landwehr Bataillon sich freiwillig zur EH Carl Legion 2. Bataillon gegen 3Fl gestellt und zum 3. Companie zugeteilt</t>
        </r>
        <r>
          <rPr>
            <sz val="14"/>
            <color rgb="FF000000"/>
            <rFont val="Times New Roman"/>
            <family val="18"/>
          </rPr>
          <t xml:space="preserve"> [AL 1809]</t>
        </r>
        <r>
          <rPr>
            <sz val="14"/>
            <color rgb="FF000000"/>
            <rFont val="Calibri"/>
            <family val="34"/>
          </rPr>
          <t xml:space="preserve">
</t>
        </r>
        <r>
          <rPr>
            <sz val="14"/>
            <color rgb="FF000000"/>
            <rFont val="Times New Roman"/>
            <family val="18"/>
          </rPr>
          <t xml:space="preserve">01/04/1809 </t>
        </r>
        <r>
          <rPr>
            <i/>
            <sz val="14"/>
            <color rgb="FF000000"/>
            <rFont val="Times New Roman"/>
            <family val="18"/>
          </rPr>
          <t>Von Gemeiner zum Gefreyter avanciert</t>
        </r>
        <r>
          <rPr>
            <sz val="14"/>
            <color rgb="FF000000"/>
            <rFont val="Times New Roman"/>
            <family val="18"/>
          </rPr>
          <t xml:space="preserve"> [ST April 1809)</t>
        </r>
        <r>
          <rPr>
            <sz val="14"/>
            <color rgb="FF000000"/>
            <rFont val="Calibri"/>
            <family val="34"/>
          </rPr>
          <t xml:space="preserve">
</t>
        </r>
        <r>
          <rPr>
            <sz val="14"/>
            <color rgb="FF000000"/>
            <rFont val="Times New Roman"/>
            <family val="18"/>
          </rPr>
          <t xml:space="preserve">11/07/1809 </t>
        </r>
        <r>
          <rPr>
            <i/>
            <sz val="14"/>
            <color rgb="FF000000"/>
            <rFont val="Times New Roman"/>
            <family val="18"/>
          </rPr>
          <t>Krank in Feldspital</t>
        </r>
        <r>
          <rPr>
            <sz val="14"/>
            <color rgb="FF000000"/>
            <rFont val="Times New Roman"/>
            <family val="18"/>
          </rPr>
          <t xml:space="preserve"> </t>
        </r>
        <r>
          <rPr>
            <b/>
            <sz val="14"/>
            <color rgb="FF000000"/>
            <rFont val="Times New Roman"/>
            <family val="18"/>
          </rPr>
          <t>[Schlacht von Znaim]</t>
        </r>
        <r>
          <rPr>
            <sz val="14"/>
            <color rgb="FF000000"/>
            <rFont val="Times New Roman"/>
            <family val="18"/>
          </rPr>
          <t xml:space="preserve"> [ST July 1809]</t>
        </r>
        <r>
          <rPr>
            <sz val="14"/>
            <color rgb="FF000000"/>
            <rFont val="Calibri"/>
            <family val="34"/>
          </rPr>
          <t xml:space="preserve">
</t>
        </r>
        <r>
          <rPr>
            <sz val="14"/>
            <color rgb="FF000000"/>
            <rFont val="Times New Roman"/>
            <family val="18"/>
          </rPr>
          <t xml:space="preserve">21/12/1809 </t>
        </r>
        <r>
          <rPr>
            <i/>
            <sz val="14"/>
            <color rgb="FF000000"/>
            <rFont val="Times New Roman"/>
            <family val="18"/>
          </rPr>
          <t>Reconvalesiert und seitdem Zugeheilt beim Depot mit Friedensgebühr</t>
        </r>
        <r>
          <rPr>
            <sz val="14"/>
            <color rgb="FF000000"/>
            <rFont val="Times New Roman"/>
            <family val="18"/>
          </rPr>
          <t xml:space="preserve"> [ST Dec 1809]</t>
        </r>
        <r>
          <rPr>
            <sz val="14"/>
            <color rgb="FF000000"/>
            <rFont val="Calibri"/>
            <family val="34"/>
          </rPr>
          <t xml:space="preserve">
</t>
        </r>
        <r>
          <rPr>
            <sz val="14"/>
            <color rgb="FF000000"/>
            <rFont val="Times New Roman"/>
            <family val="18"/>
          </rPr>
          <t xml:space="preserve">15/01/1810 </t>
        </r>
        <r>
          <rPr>
            <i/>
            <sz val="14"/>
            <color rgb="FF000000"/>
            <rFont val="Times New Roman"/>
            <family val="18"/>
          </rPr>
          <t>Zurück ins Companie eingerückt</t>
        </r>
        <r>
          <rPr>
            <sz val="14"/>
            <color rgb="FF000000"/>
            <rFont val="Times New Roman"/>
            <family val="18"/>
          </rPr>
          <t xml:space="preserve"> [ST Jan 1810]</t>
        </r>
        <r>
          <rPr>
            <sz val="14"/>
            <color rgb="FF000000"/>
            <rFont val="Calibri"/>
            <family val="34"/>
          </rPr>
          <t xml:space="preserve">
</t>
        </r>
        <r>
          <rPr>
            <sz val="14"/>
            <color rgb="FF000000"/>
            <rFont val="Times New Roman"/>
            <family val="18"/>
          </rPr>
          <t xml:space="preserve">23/01/1810 </t>
        </r>
        <r>
          <rPr>
            <i/>
            <sz val="14"/>
            <color rgb="FF000000"/>
            <rFont val="Times New Roman"/>
            <family val="18"/>
          </rPr>
          <t>Als Freiwillig auf die Kriegsdauer gestellte mit Abschied Entlassen</t>
        </r>
        <r>
          <rPr>
            <sz val="14"/>
            <color rgb="FF000000"/>
            <rFont val="Times New Roman"/>
            <family val="18"/>
          </rPr>
          <t xml:space="preserve"> [ST Jan 1810] </t>
        </r>
      </text>
    </comment>
    <comment ref="BG5" authorId="0" shapeId="0" xr:uid="{A60D7C92-8074-074C-84E4-4D3E7C6125D3}">
      <text>
        <r>
          <rPr>
            <sz val="14"/>
            <color rgb="FF000000"/>
            <rFont val="Times New Roman"/>
            <family val="18"/>
          </rPr>
          <t>ML 10.815 EH Carl FK (1809-10) – AL Nr. 36 (Prague 06/03/1809), ST March (Prague 21/06/1809), ST May (28/09/1809), Juni (Prague 04/11/1809), ST Juli (30/05/1810); ST Aug (Prague 30/05/1810). ST Jan (??); ST Aug 1810 (Prague 30/10/1810)</t>
        </r>
        <r>
          <rPr>
            <sz val="14"/>
            <color rgb="FF000000"/>
            <rFont val="Calibri"/>
            <family val="34"/>
          </rPr>
          <t xml:space="preserve">
</t>
        </r>
      </text>
    </comment>
    <comment ref="BH5" authorId="0" shapeId="0" xr:uid="{E8F54FB4-0A51-7F40-9F64-ED9DFFDBCC08}">
      <text>
        <r>
          <rPr>
            <sz val="14"/>
            <color rgb="FF000000"/>
            <rFont val="Calibri"/>
            <family val="34"/>
          </rPr>
          <t xml:space="preserve">Rakonitz LWB 1 (1808-1809)
</t>
        </r>
        <r>
          <rPr>
            <sz val="14"/>
            <color rgb="FF000000"/>
            <rFont val="Calibri"/>
            <family val="34"/>
          </rPr>
          <t>Legion EH Carl (1809-1810)</t>
        </r>
      </text>
    </comment>
    <comment ref="BF6" authorId="0" shapeId="0" xr:uid="{42A0D713-B04B-B247-A641-9455153514F5}">
      <text>
        <r>
          <rPr>
            <sz val="14"/>
            <color rgb="FF000000"/>
            <rFont val="Times New Roman"/>
            <family val="18"/>
          </rPr>
          <t xml:space="preserve">06/03/1809 </t>
        </r>
        <r>
          <rPr>
            <i/>
            <sz val="14"/>
            <color rgb="FF000000"/>
            <rFont val="Times New Roman"/>
            <family val="18"/>
          </rPr>
          <t>Von Prager Landwehr Bataillon sich freiwillig zur EH Carl Legion 2. Bataillon gegen 3Fl gestellt und zum 4. Companie zugeteilt</t>
        </r>
        <r>
          <rPr>
            <sz val="14"/>
            <color rgb="FF000000"/>
            <rFont val="Times New Roman"/>
            <family val="18"/>
          </rPr>
          <t xml:space="preserve"> [AL 1809]</t>
        </r>
        <r>
          <rPr>
            <sz val="14"/>
            <color rgb="FF000000"/>
            <rFont val="Calibri"/>
            <family val="34"/>
          </rPr>
          <t xml:space="preserve">
</t>
        </r>
        <r>
          <rPr>
            <sz val="14"/>
            <color rgb="FF000000"/>
            <rFont val="Times New Roman"/>
            <family val="18"/>
          </rPr>
          <t xml:space="preserve">22/05/1809 </t>
        </r>
        <r>
          <rPr>
            <i/>
            <sz val="14"/>
            <color rgb="FF000000"/>
            <rFont val="Times New Roman"/>
            <family val="18"/>
          </rPr>
          <t xml:space="preserve">In der </t>
        </r>
        <r>
          <rPr>
            <b/>
            <i/>
            <sz val="14"/>
            <color rgb="FF000000"/>
            <rFont val="Times New Roman"/>
            <family val="18"/>
          </rPr>
          <t xml:space="preserve">Schlacht von Aspern </t>
        </r>
        <r>
          <rPr>
            <i/>
            <sz val="14"/>
            <color rgb="FF000000"/>
            <rFont val="Times New Roman"/>
            <family val="18"/>
          </rPr>
          <t>Blessirt und seitdem Krank in Armee Spital</t>
        </r>
        <r>
          <rPr>
            <sz val="14"/>
            <color rgb="FF000000"/>
            <rFont val="Times New Roman"/>
            <family val="18"/>
          </rPr>
          <t xml:space="preserve"> [ST May 1809]</t>
        </r>
        <r>
          <rPr>
            <sz val="14"/>
            <color rgb="FF000000"/>
            <rFont val="Calibri"/>
            <family val="34"/>
          </rPr>
          <t xml:space="preserve">
</t>
        </r>
        <r>
          <rPr>
            <sz val="14"/>
            <color rgb="FF000000"/>
            <rFont val="Times New Roman"/>
            <family val="18"/>
          </rPr>
          <t xml:space="preserve">29/05/1809 </t>
        </r>
        <r>
          <rPr>
            <i/>
            <sz val="14"/>
            <color rgb="FF000000"/>
            <rFont val="Times New Roman"/>
            <family val="18"/>
          </rPr>
          <t>Beim Depot eingerückt und dort mit Friedensgebühr</t>
        </r>
        <r>
          <rPr>
            <sz val="14"/>
            <color rgb="FF000000"/>
            <rFont val="Times New Roman"/>
            <family val="18"/>
          </rPr>
          <t xml:space="preserve">  [ST May 1809]</t>
        </r>
        <r>
          <rPr>
            <sz val="14"/>
            <color rgb="FF000000"/>
            <rFont val="Calibri"/>
            <family val="34"/>
          </rPr>
          <t xml:space="preserve">
</t>
        </r>
        <r>
          <rPr>
            <sz val="14"/>
            <color rgb="FF000000"/>
            <rFont val="Times New Roman"/>
            <family val="18"/>
          </rPr>
          <t xml:space="preserve">10/06/1809 </t>
        </r>
        <r>
          <rPr>
            <i/>
            <sz val="14"/>
            <color rgb="FF000000"/>
            <rFont val="Times New Roman"/>
            <family val="18"/>
          </rPr>
          <t>Wieder mit Auswärtigen Gebühr krank in Feld Spital</t>
        </r>
        <r>
          <rPr>
            <sz val="14"/>
            <color rgb="FF000000"/>
            <rFont val="Times New Roman"/>
            <family val="18"/>
          </rPr>
          <t xml:space="preserve"> [ST Juni 1809]</t>
        </r>
        <r>
          <rPr>
            <sz val="14"/>
            <color rgb="FF000000"/>
            <rFont val="Calibri"/>
            <family val="34"/>
          </rPr>
          <t xml:space="preserve">
</t>
        </r>
        <r>
          <rPr>
            <sz val="14"/>
            <color rgb="FF000000"/>
            <rFont val="Times New Roman"/>
            <family val="18"/>
          </rPr>
          <t xml:space="preserve">05/07/1809 </t>
        </r>
        <r>
          <rPr>
            <i/>
            <sz val="14"/>
            <color rgb="FF000000"/>
            <rFont val="Times New Roman"/>
            <family val="18"/>
          </rPr>
          <t>Beim Depot eingerückt und dort mit Friedensgebühr</t>
        </r>
        <r>
          <rPr>
            <sz val="14"/>
            <color rgb="FF000000"/>
            <rFont val="Times New Roman"/>
            <family val="18"/>
          </rPr>
          <t xml:space="preserve"> [ST July 1809</t>
        </r>
        <r>
          <rPr>
            <sz val="14"/>
            <color rgb="FF000000"/>
            <rFont val="Calibri"/>
            <family val="34"/>
          </rPr>
          <t xml:space="preserve">
</t>
        </r>
        <r>
          <rPr>
            <sz val="14"/>
            <color rgb="FF000000"/>
            <rFont val="Times New Roman"/>
            <family val="18"/>
          </rPr>
          <t xml:space="preserve">01/08/1809 </t>
        </r>
        <r>
          <rPr>
            <i/>
            <sz val="14"/>
            <color rgb="FF000000"/>
            <rFont val="Times New Roman"/>
            <family val="18"/>
          </rPr>
          <t>Von Gemeiner zum Gefreyter avanciert</t>
        </r>
        <r>
          <rPr>
            <sz val="14"/>
            <color rgb="FF000000"/>
            <rFont val="Times New Roman"/>
            <family val="18"/>
          </rPr>
          <t xml:space="preserve"> [ST Aug 1809]</t>
        </r>
        <r>
          <rPr>
            <sz val="14"/>
            <color rgb="FF000000"/>
            <rFont val="Calibri"/>
            <family val="34"/>
          </rPr>
          <t xml:space="preserve">
</t>
        </r>
        <r>
          <rPr>
            <sz val="14"/>
            <color rgb="FF000000"/>
            <rFont val="Times New Roman"/>
            <family val="18"/>
          </rPr>
          <t xml:space="preserve">11/01/1810 </t>
        </r>
        <r>
          <rPr>
            <i/>
            <sz val="14"/>
            <color rgb="FF000000"/>
            <rFont val="Times New Roman"/>
            <family val="18"/>
          </rPr>
          <t>Mit Auswärtiger Krank in Armee Spitaler</t>
        </r>
        <r>
          <rPr>
            <sz val="14"/>
            <color rgb="FF000000"/>
            <rFont val="Times New Roman"/>
            <family val="18"/>
          </rPr>
          <t xml:space="preserve"> [ST Jan 1810]</t>
        </r>
        <r>
          <rPr>
            <sz val="14"/>
            <color rgb="FF000000"/>
            <rFont val="Calibri"/>
            <family val="34"/>
          </rPr>
          <t xml:space="preserve">
</t>
        </r>
        <r>
          <rPr>
            <sz val="14"/>
            <color rgb="FF000000"/>
            <rFont val="Times New Roman"/>
            <family val="18"/>
          </rPr>
          <t>16/02/1810</t>
        </r>
        <r>
          <rPr>
            <i/>
            <sz val="14"/>
            <color rgb="FF000000"/>
            <rFont val="Times New Roman"/>
            <family val="18"/>
          </rPr>
          <t xml:space="preserve"> Als Freiwillig auf Kriegsdauer engagierte gemäß bestehende Dissolvierungs Verordnung mit 30 Tägigen Ord. Inf Löhnung Abgefertigt Worden </t>
        </r>
        <r>
          <rPr>
            <sz val="14"/>
            <color rgb="FF000000"/>
            <rFont val="Times New Roman"/>
            <family val="18"/>
          </rPr>
          <t xml:space="preserve">[ST Aug 1810] </t>
        </r>
      </text>
    </comment>
    <comment ref="BG6" authorId="0" shapeId="0" xr:uid="{A0EA2C2B-7230-BD43-AAB4-A7DFF5686E83}">
      <text>
        <r>
          <rPr>
            <sz val="14"/>
            <color rgb="FF000000"/>
            <rFont val="Times New Roman"/>
            <family val="18"/>
          </rPr>
          <t>ML 10.815 EH Carl FK (1809-10) – AL Nr. 145 (Prague 06/03/1809), ST April (18/07/1809), ST Juli (Prague 30/05/1810), ST Dec (Prague 30/08/1810), ST Jan 1810 (??)</t>
        </r>
        <r>
          <rPr>
            <sz val="14"/>
            <color rgb="FF000000"/>
            <rFont val="Calibri"/>
            <family val="34"/>
          </rPr>
          <t xml:space="preserve">
</t>
        </r>
      </text>
    </comment>
    <comment ref="BH6" authorId="0" shapeId="0" xr:uid="{9C2C20FC-DD52-B24B-8600-97761C9F9680}">
      <text>
        <r>
          <rPr>
            <sz val="14"/>
            <color rgb="FF000000"/>
            <rFont val="Calibri"/>
            <family val="34"/>
          </rPr>
          <t xml:space="preserve">Prag LWB (1808-1809)
</t>
        </r>
        <r>
          <rPr>
            <sz val="14"/>
            <color rgb="FF000000"/>
            <rFont val="Calibri"/>
            <family val="34"/>
          </rPr>
          <t>Legion EH Carl (1809-1810)</t>
        </r>
      </text>
    </comment>
    <comment ref="BF7" authorId="0" shapeId="0" xr:uid="{8C625837-FD46-3346-B8B9-326A864F7D1A}">
      <text>
        <r>
          <rPr>
            <sz val="14"/>
            <color rgb="FF000000"/>
            <rFont val="Times New Roman"/>
            <family val="18"/>
          </rPr>
          <t xml:space="preserve">11/03/1809 </t>
        </r>
        <r>
          <rPr>
            <i/>
            <sz val="14"/>
            <color rgb="FF000000"/>
            <rFont val="Times New Roman"/>
            <family val="18"/>
          </rPr>
          <t>Von 2. Rakonitzer Landwehr Bataillon sich freiwillig zur EH Carl Legion 2. Bataillon gegen 3Fl gestellt und zum 5. Companie zugeteilt</t>
        </r>
        <r>
          <rPr>
            <sz val="14"/>
            <color rgb="FF000000"/>
            <rFont val="Times New Roman"/>
            <family val="18"/>
          </rPr>
          <t xml:space="preserve"> [AL 1809]</t>
        </r>
        <r>
          <rPr>
            <sz val="14"/>
            <color rgb="FF000000"/>
            <rFont val="Calibri"/>
            <family val="34"/>
          </rPr>
          <t xml:space="preserve">
</t>
        </r>
        <r>
          <rPr>
            <sz val="14"/>
            <color rgb="FF000000"/>
            <rFont val="Times New Roman"/>
            <family val="18"/>
          </rPr>
          <t xml:space="preserve">13/09/1809 </t>
        </r>
        <r>
          <rPr>
            <i/>
            <sz val="14"/>
            <color rgb="FF000000"/>
            <rFont val="Times New Roman"/>
            <family val="18"/>
          </rPr>
          <t>Krank in Feldspital</t>
        </r>
        <r>
          <rPr>
            <sz val="14"/>
            <color rgb="FF000000"/>
            <rFont val="Times New Roman"/>
            <family val="18"/>
          </rPr>
          <t xml:space="preserve"> [ST Sept 1809]</t>
        </r>
        <r>
          <rPr>
            <sz val="14"/>
            <color rgb="FF000000"/>
            <rFont val="Calibri"/>
            <family val="34"/>
          </rPr>
          <t xml:space="preserve">
</t>
        </r>
        <r>
          <rPr>
            <sz val="14"/>
            <color rgb="FF000000"/>
            <rFont val="Times New Roman"/>
            <family val="18"/>
          </rPr>
          <t xml:space="preserve">10/01/1810 </t>
        </r>
        <r>
          <rPr>
            <i/>
            <sz val="14"/>
            <color rgb="FF000000"/>
            <rFont val="Times New Roman"/>
            <family val="18"/>
          </rPr>
          <t>Rekonvalesziert</t>
        </r>
        <r>
          <rPr>
            <sz val="14"/>
            <color rgb="FF000000"/>
            <rFont val="Times New Roman"/>
            <family val="18"/>
          </rPr>
          <t xml:space="preserve"> [ST Jan 1810]</t>
        </r>
        <r>
          <rPr>
            <sz val="14"/>
            <color rgb="FF000000"/>
            <rFont val="Calibri"/>
            <family val="34"/>
          </rPr>
          <t xml:space="preserve">
</t>
        </r>
        <r>
          <rPr>
            <sz val="14"/>
            <color rgb="FF000000"/>
            <rFont val="Times New Roman"/>
            <family val="18"/>
          </rPr>
          <t xml:space="preserve">25/01/1810 </t>
        </r>
        <r>
          <rPr>
            <i/>
            <sz val="14"/>
            <color rgb="FF000000"/>
            <rFont val="Times New Roman"/>
            <family val="18"/>
          </rPr>
          <t>Als Freiwillig auf die Kriegsdauer gestellte mit Abschied Entlassen</t>
        </r>
        <r>
          <rPr>
            <sz val="14"/>
            <color rgb="FF000000"/>
            <rFont val="Times New Roman"/>
            <family val="18"/>
          </rPr>
          <t xml:space="preserve"> [ST Jan 1810] </t>
        </r>
      </text>
    </comment>
    <comment ref="BG7" authorId="0" shapeId="0" xr:uid="{9F8E19A0-964D-5141-A47D-AACEFE241941}">
      <text>
        <r>
          <rPr>
            <sz val="14"/>
            <color rgb="FF000000"/>
            <rFont val="Times New Roman"/>
            <family val="18"/>
          </rPr>
          <t>ML 10.815 EH Carl FK (1809-10) – AL Nr. 48 (Prague 11/03/1809), ST Sept (Prague 09/08/1810), ST Jan 1810 (??)</t>
        </r>
        <r>
          <rPr>
            <sz val="14"/>
            <color rgb="FF000000"/>
            <rFont val="Calibri"/>
            <family val="34"/>
          </rPr>
          <t xml:space="preserve">
</t>
        </r>
      </text>
    </comment>
    <comment ref="BH7" authorId="0" shapeId="0" xr:uid="{B352A4E9-76C5-A044-BE95-381E96EDE50B}">
      <text>
        <r>
          <rPr>
            <sz val="14"/>
            <color rgb="FF000000"/>
            <rFont val="Calibri"/>
            <family val="34"/>
          </rPr>
          <t xml:space="preserve">Rakonitz LWB 2 (1808-1809)
</t>
        </r>
        <r>
          <rPr>
            <sz val="14"/>
            <color rgb="FF000000"/>
            <rFont val="Calibri"/>
            <family val="34"/>
          </rPr>
          <t>Legion EH Carl (1809-1810)</t>
        </r>
      </text>
    </comment>
    <comment ref="BF8" authorId="0" shapeId="0" xr:uid="{0CED6C68-7909-9C46-BF36-C330DE198697}">
      <text>
        <r>
          <rPr>
            <sz val="14"/>
            <color rgb="FF000000"/>
            <rFont val="Times New Roman"/>
            <family val="18"/>
          </rPr>
          <t xml:space="preserve">11/03/1809 </t>
        </r>
        <r>
          <rPr>
            <i/>
            <sz val="14"/>
            <color rgb="FF000000"/>
            <rFont val="Times New Roman"/>
            <family val="18"/>
          </rPr>
          <t>Von 2. Rakonitzer Landwehr Bataillon sich freiwillig zur EH Carl Legion 2. Bataillon gegen 3Fl gestellt und zum 5. Companie zugeteilt</t>
        </r>
        <r>
          <rPr>
            <sz val="14"/>
            <color rgb="FF000000"/>
            <rFont val="Times New Roman"/>
            <family val="18"/>
          </rPr>
          <t xml:space="preserve"> [AL March 1809 &amp; ST March 1809]</t>
        </r>
        <r>
          <rPr>
            <sz val="14"/>
            <color rgb="FF000000"/>
            <rFont val="Calibri"/>
            <family val="34"/>
          </rPr>
          <t xml:space="preserve">
</t>
        </r>
        <r>
          <rPr>
            <sz val="14"/>
            <color rgb="FF000000"/>
            <rFont val="Times New Roman"/>
            <family val="18"/>
          </rPr>
          <t xml:space="preserve">01/12/1809 </t>
        </r>
        <r>
          <rPr>
            <i/>
            <sz val="14"/>
            <color rgb="FF000000"/>
            <rFont val="Times New Roman"/>
            <family val="18"/>
          </rPr>
          <t>Krank in Feldspital</t>
        </r>
        <r>
          <rPr>
            <sz val="14"/>
            <color rgb="FF000000"/>
            <rFont val="Times New Roman"/>
            <family val="18"/>
          </rPr>
          <t xml:space="preserve"> [ST Dec 1809]</t>
        </r>
        <r>
          <rPr>
            <sz val="14"/>
            <color rgb="FF000000"/>
            <rFont val="Calibri"/>
            <family val="34"/>
          </rPr>
          <t xml:space="preserve">
</t>
        </r>
        <r>
          <rPr>
            <sz val="14"/>
            <color rgb="FF000000"/>
            <rFont val="Times New Roman"/>
            <family val="18"/>
          </rPr>
          <t xml:space="preserve">07/02/1810 </t>
        </r>
        <r>
          <rPr>
            <i/>
            <sz val="14"/>
            <color rgb="FF000000"/>
            <rFont val="Times New Roman"/>
            <family val="18"/>
          </rPr>
          <t>Rekonvalesziert</t>
        </r>
        <r>
          <rPr>
            <sz val="14"/>
            <color rgb="FF000000"/>
            <rFont val="Times New Roman"/>
            <family val="18"/>
          </rPr>
          <t xml:space="preserve"> [ST Aug 1810]</t>
        </r>
        <r>
          <rPr>
            <sz val="14"/>
            <color rgb="FF000000"/>
            <rFont val="Calibri"/>
            <family val="34"/>
          </rPr>
          <t xml:space="preserve">
</t>
        </r>
        <r>
          <rPr>
            <sz val="14"/>
            <color rgb="FF000000"/>
            <rFont val="Times New Roman"/>
            <family val="18"/>
          </rPr>
          <t xml:space="preserve">10/02/1810 </t>
        </r>
        <r>
          <rPr>
            <i/>
            <sz val="14"/>
            <color rgb="FF000000"/>
            <rFont val="Times New Roman"/>
            <family val="18"/>
          </rPr>
          <t xml:space="preserve">Als Freiwillig auf Kriegsdauer engagierte gemäß bestehende Dissolvierungs Verordnung mit 30 Tägigen Ord. Inf Löhnung Abgefertigt Worden </t>
        </r>
        <r>
          <rPr>
            <sz val="14"/>
            <color rgb="FF000000"/>
            <rFont val="Times New Roman"/>
            <family val="18"/>
          </rPr>
          <t>[ST Aug 1810]</t>
        </r>
      </text>
    </comment>
    <comment ref="BG8" authorId="0" shapeId="0" xr:uid="{22E917B0-7028-8647-9406-248F92DC30AB}">
      <text>
        <r>
          <rPr>
            <sz val="14"/>
            <color rgb="FF000000"/>
            <rFont val="Times New Roman"/>
            <family val="18"/>
          </rPr>
          <t>ML 10.815 EH Carl FK (1809-10) – AL Nr. 15 (Prague 11/03/1809), ST March (Prague 21/06/1809), ST Dec (Prague 30/08/1810), ST Aug 1810 (Prague 30/10/1810)</t>
        </r>
        <r>
          <rPr>
            <sz val="14"/>
            <color rgb="FF000000"/>
            <rFont val="Calibri"/>
            <family val="34"/>
          </rPr>
          <t xml:space="preserve">
</t>
        </r>
      </text>
    </comment>
    <comment ref="BH8" authorId="0" shapeId="0" xr:uid="{C8F87E6A-198A-744B-ADAD-A56DDDCB07C5}">
      <text>
        <r>
          <rPr>
            <sz val="14"/>
            <color rgb="FF000000"/>
            <rFont val="Calibri"/>
            <family val="34"/>
          </rPr>
          <t xml:space="preserve">Rakonitz LWB 2 (1808-1809)
</t>
        </r>
        <r>
          <rPr>
            <sz val="14"/>
            <color rgb="FF000000"/>
            <rFont val="Calibri"/>
            <family val="34"/>
          </rPr>
          <t>Legion EH Carl (1809-1810)</t>
        </r>
      </text>
    </comment>
    <comment ref="BF9" authorId="0" shapeId="0" xr:uid="{BD5AE75B-0A2B-954B-8A5C-4D308300CE30}">
      <text>
        <r>
          <rPr>
            <sz val="14"/>
            <color rgb="FF000000"/>
            <rFont val="Times New Roman"/>
            <family val="18"/>
          </rPr>
          <t xml:space="preserve">18/03/1809 </t>
        </r>
        <r>
          <rPr>
            <i/>
            <sz val="14"/>
            <color rgb="FF000000"/>
            <rFont val="Times New Roman"/>
            <family val="18"/>
          </rPr>
          <t>a 3Fl Handgeld in EH Carl Legion 2. Battalion zu Prag angeworben und zur. 2. Kompanie eingeheilt</t>
        </r>
        <r>
          <rPr>
            <sz val="14"/>
            <color rgb="FF000000"/>
            <rFont val="Times New Roman"/>
            <family val="18"/>
          </rPr>
          <t xml:space="preserve"> [AL 1809]</t>
        </r>
        <r>
          <rPr>
            <sz val="14"/>
            <color rgb="FF000000"/>
            <rFont val="Calibri"/>
            <family val="34"/>
          </rPr>
          <t xml:space="preserve">
</t>
        </r>
        <r>
          <rPr>
            <sz val="14"/>
            <color rgb="FF000000"/>
            <rFont val="Times New Roman"/>
            <family val="18"/>
          </rPr>
          <t xml:space="preserve">23/07/1809 </t>
        </r>
        <r>
          <rPr>
            <i/>
            <sz val="14"/>
            <color rgb="FF000000"/>
            <rFont val="Times New Roman"/>
            <family val="18"/>
          </rPr>
          <t>Krank in Feldspital</t>
        </r>
        <r>
          <rPr>
            <sz val="14"/>
            <color rgb="FF000000"/>
            <rFont val="Times New Roman"/>
            <family val="18"/>
          </rPr>
          <t xml:space="preserve"> [ST July 1809]</t>
        </r>
        <r>
          <rPr>
            <sz val="14"/>
            <color rgb="FF000000"/>
            <rFont val="Calibri"/>
            <family val="34"/>
          </rPr>
          <t xml:space="preserve">
</t>
        </r>
        <r>
          <rPr>
            <sz val="14"/>
            <color rgb="FF000000"/>
            <rFont val="Times New Roman"/>
            <family val="18"/>
          </rPr>
          <t xml:space="preserve">06/11/1809 </t>
        </r>
        <r>
          <rPr>
            <i/>
            <sz val="14"/>
            <color rgb="FF000000"/>
            <rFont val="Times New Roman"/>
            <family val="18"/>
          </rPr>
          <t>Rekonvalesziert und seitdem zugeheilt beim Depot mit Friedensgebühr</t>
        </r>
        <r>
          <rPr>
            <sz val="14"/>
            <color rgb="FF000000"/>
            <rFont val="Times New Roman"/>
            <family val="18"/>
          </rPr>
          <t xml:space="preserve"> [ST Nov 1809]</t>
        </r>
        <r>
          <rPr>
            <sz val="14"/>
            <color rgb="FF000000"/>
            <rFont val="Calibri"/>
            <family val="34"/>
          </rPr>
          <t xml:space="preserve">
</t>
        </r>
        <r>
          <rPr>
            <sz val="14"/>
            <color rgb="FF000000"/>
            <rFont val="Times New Roman"/>
            <family val="18"/>
          </rPr>
          <t xml:space="preserve">13/01/1810 </t>
        </r>
        <r>
          <rPr>
            <i/>
            <sz val="14"/>
            <color rgb="FF000000"/>
            <rFont val="Times New Roman"/>
            <family val="18"/>
          </rPr>
          <t>Zurück in die Companie eingerückt</t>
        </r>
        <r>
          <rPr>
            <sz val="14"/>
            <color rgb="FF000000"/>
            <rFont val="Times New Roman"/>
            <family val="18"/>
          </rPr>
          <t xml:space="preserve"> [ST Jan 1810]</t>
        </r>
        <r>
          <rPr>
            <sz val="14"/>
            <color rgb="FF000000"/>
            <rFont val="Calibri"/>
            <family val="34"/>
          </rPr>
          <t xml:space="preserve">
</t>
        </r>
        <r>
          <rPr>
            <sz val="14"/>
            <color rgb="FF000000"/>
            <rFont val="Times New Roman"/>
            <family val="18"/>
          </rPr>
          <t xml:space="preserve">23/01/1810 </t>
        </r>
        <r>
          <rPr>
            <i/>
            <sz val="14"/>
            <color rgb="FF000000"/>
            <rFont val="Times New Roman"/>
            <family val="18"/>
          </rPr>
          <t>Als freiwillig auf die Kriegsdauer gestellte mit Abschied Entlassen</t>
        </r>
        <r>
          <rPr>
            <sz val="14"/>
            <color rgb="FF000000"/>
            <rFont val="Times New Roman"/>
            <family val="18"/>
          </rPr>
          <t xml:space="preserve"> [ST Jan 1810]</t>
        </r>
        <r>
          <rPr>
            <sz val="14"/>
            <color rgb="FF000000"/>
            <rFont val="Calibri"/>
            <family val="34"/>
          </rPr>
          <t xml:space="preserve">
</t>
        </r>
      </text>
    </comment>
    <comment ref="BG9" authorId="0" shapeId="0" xr:uid="{0DBEF54F-C783-D54B-9191-224AA7BD007E}">
      <text>
        <r>
          <rPr>
            <sz val="14"/>
            <color rgb="FF000000"/>
            <rFont val="Times New Roman"/>
            <family val="18"/>
          </rPr>
          <t>ML 10.815 EH Carl FK (1809-10) – AL Nr. 167 (Prague 20/03/1809), ST Juli (Prague 30/05/1810), ST Nov (Prague 30/08/1809), ST Jan 1810 (??)</t>
        </r>
        <r>
          <rPr>
            <sz val="14"/>
            <color rgb="FF000000"/>
            <rFont val="Calibri"/>
            <family val="34"/>
          </rPr>
          <t xml:space="preserve">
</t>
        </r>
      </text>
    </comment>
    <comment ref="BH9" authorId="0" shapeId="0" xr:uid="{BF612B1D-C83E-2742-A732-3AA2A86F5D87}">
      <text>
        <r>
          <rPr>
            <sz val="14"/>
            <color rgb="FF000000"/>
            <rFont val="Calibri"/>
            <family val="34"/>
          </rPr>
          <t>Legion EH Carl (1809-1810)</t>
        </r>
      </text>
    </comment>
    <comment ref="BF10" authorId="0" shapeId="0" xr:uid="{87ADA11D-519F-9145-B83E-D8DCCCBC7D68}">
      <text>
        <r>
          <rPr>
            <sz val="14"/>
            <color rgb="FF000000"/>
            <rFont val="Times New Roman"/>
            <family val="18"/>
          </rPr>
          <t xml:space="preserve">01/04/1809 </t>
        </r>
        <r>
          <rPr>
            <i/>
            <sz val="14"/>
            <color rgb="FF000000"/>
            <rFont val="Times New Roman"/>
            <family val="18"/>
          </rPr>
          <t>Hat sich freiwillig bei den Berauner 1. Graf Swibischen LW Battalion zum EH Carl Legion 2. Bataillon auf 3Fl gestellt und zum 6. Kompanie zugeheilt</t>
        </r>
        <r>
          <rPr>
            <sz val="14"/>
            <color rgb="FF000000"/>
            <rFont val="Times New Roman"/>
            <family val="18"/>
          </rPr>
          <t xml:space="preserve"> [AL 1809 &amp; ST March 1809]</t>
        </r>
        <r>
          <rPr>
            <sz val="14"/>
            <color rgb="FF000000"/>
            <rFont val="Calibri"/>
            <family val="34"/>
          </rPr>
          <t xml:space="preserve">
</t>
        </r>
        <r>
          <rPr>
            <sz val="14"/>
            <color rgb="FF000000"/>
            <rFont val="Times New Roman"/>
            <family val="18"/>
          </rPr>
          <t xml:space="preserve">23/01/1810 </t>
        </r>
        <r>
          <rPr>
            <i/>
            <sz val="14"/>
            <color rgb="FF000000"/>
            <rFont val="Times New Roman"/>
            <family val="18"/>
          </rPr>
          <t>Als Freiwillig auf die Kriegsdauer gestellte mit Abschied Entlassen</t>
        </r>
        <r>
          <rPr>
            <sz val="14"/>
            <color rgb="FF000000"/>
            <rFont val="Times New Roman"/>
            <family val="18"/>
          </rPr>
          <t xml:space="preserve"> [ST Jan 1810] </t>
        </r>
      </text>
    </comment>
    <comment ref="BG10" authorId="0" shapeId="0" xr:uid="{98C431FC-2B2B-EA4F-B51C-32F410800F1C}">
      <text>
        <r>
          <rPr>
            <sz val="14"/>
            <color rgb="FF000000"/>
            <rFont val="Times New Roman"/>
            <family val="18"/>
          </rPr>
          <t>ML 10.815 EH Carl FK (1809-10) – AL Nr. 9 (Prague 28/03/1809), ST March (Prague 21/06/1809), ST Jan 1810 (??)</t>
        </r>
        <r>
          <rPr>
            <sz val="14"/>
            <color rgb="FF000000"/>
            <rFont val="Calibri"/>
            <family val="34"/>
          </rPr>
          <t xml:space="preserve">
</t>
        </r>
      </text>
    </comment>
    <comment ref="BH10" authorId="0" shapeId="0" xr:uid="{1F5C4E61-8D85-A042-9A3B-93F3D02D5AEF}">
      <text>
        <r>
          <rPr>
            <sz val="14"/>
            <color rgb="FF000000"/>
            <rFont val="Calibri"/>
            <family val="34"/>
          </rPr>
          <t xml:space="preserve">Beraun LWB 1 (1808-1809)
</t>
        </r>
        <r>
          <rPr>
            <sz val="14"/>
            <color rgb="FF000000"/>
            <rFont val="Calibri"/>
            <family val="34"/>
          </rPr>
          <t>Legion EH Carl (1809-1810)</t>
        </r>
      </text>
    </comment>
    <comment ref="BF12" authorId="0" shapeId="0" xr:uid="{13751135-AA63-1E4B-B073-DAF3E66A049A}">
      <text>
        <r>
          <rPr>
            <sz val="14"/>
            <color rgb="FF000000"/>
            <rFont val="Times New Roman"/>
            <family val="18"/>
          </rPr>
          <t xml:space="preserve">16/03/1809 </t>
        </r>
        <r>
          <rPr>
            <i/>
            <sz val="14"/>
            <color rgb="FF000000"/>
            <rFont val="Times New Roman"/>
            <family val="18"/>
          </rPr>
          <t xml:space="preserve">Von 2. Chrudimer Landwehr Bataillon </t>
        </r>
        <r>
          <rPr>
            <sz val="14"/>
            <color rgb="FF000000"/>
            <rFont val="Times New Roman"/>
            <family val="18"/>
          </rPr>
          <t>a</t>
        </r>
        <r>
          <rPr>
            <i/>
            <sz val="14"/>
            <color rgb="FF000000"/>
            <rFont val="Times New Roman"/>
            <family val="18"/>
          </rPr>
          <t>uf 3 Fl Handgeld zum EH Karl Legion 3. Bataillon assentiert und zum 5. Kompanie zugeteilt</t>
        </r>
        <r>
          <rPr>
            <sz val="14"/>
            <color rgb="FF000000"/>
            <rFont val="Times New Roman"/>
            <family val="18"/>
          </rPr>
          <t xml:space="preserve"> [AL &amp; ST March 1809]</t>
        </r>
        <r>
          <rPr>
            <sz val="14"/>
            <color rgb="FF000000"/>
            <rFont val="Calibri"/>
            <family val="34"/>
          </rPr>
          <t xml:space="preserve">
</t>
        </r>
        <r>
          <rPr>
            <sz val="14"/>
            <color rgb="FF000000"/>
            <rFont val="Times New Roman"/>
            <family val="18"/>
          </rPr>
          <t xml:space="preserve">10/07/1809 </t>
        </r>
        <r>
          <rPr>
            <i/>
            <sz val="14"/>
            <color rgb="FF000000"/>
            <rFont val="Times New Roman"/>
            <family val="18"/>
          </rPr>
          <t>In die Kriegsgefangenschaft geraten</t>
        </r>
        <r>
          <rPr>
            <sz val="14"/>
            <color rgb="FF000000"/>
            <rFont val="Times New Roman"/>
            <family val="18"/>
          </rPr>
          <t xml:space="preserve"> </t>
        </r>
        <r>
          <rPr>
            <b/>
            <sz val="14"/>
            <color rgb="FF000000"/>
            <rFont val="Times New Roman"/>
            <family val="18"/>
          </rPr>
          <t>[Schlacht von Znaim]</t>
        </r>
        <r>
          <rPr>
            <sz val="14"/>
            <color rgb="FF000000"/>
            <rFont val="Times New Roman"/>
            <family val="18"/>
          </rPr>
          <t xml:space="preserve"> [ST Juli 1809]</t>
        </r>
        <r>
          <rPr>
            <sz val="14"/>
            <color rgb="FF000000"/>
            <rFont val="Calibri"/>
            <family val="34"/>
          </rPr>
          <t xml:space="preserve">
</t>
        </r>
        <r>
          <rPr>
            <sz val="14"/>
            <color rgb="FF000000"/>
            <rFont val="Times New Roman"/>
            <family val="18"/>
          </rPr>
          <t xml:space="preserve">01/08/1809 </t>
        </r>
        <r>
          <rPr>
            <i/>
            <sz val="14"/>
            <color rgb="FF000000"/>
            <rFont val="Times New Roman"/>
            <family val="18"/>
          </rPr>
          <t>Von Gefangenschaft sich selbst ranzioniert und seitdem auf dem Marsch</t>
        </r>
        <r>
          <rPr>
            <sz val="14"/>
            <color rgb="FF000000"/>
            <rFont val="Times New Roman"/>
            <family val="18"/>
          </rPr>
          <t xml:space="preserve"> [ST Aug 1809]</t>
        </r>
        <r>
          <rPr>
            <sz val="14"/>
            <color rgb="FF000000"/>
            <rFont val="Calibri"/>
            <family val="34"/>
          </rPr>
          <t xml:space="preserve">
</t>
        </r>
        <r>
          <rPr>
            <sz val="14"/>
            <color rgb="FF000000"/>
            <rFont val="Times New Roman"/>
            <family val="18"/>
          </rPr>
          <t xml:space="preserve">10/08/1809 </t>
        </r>
        <r>
          <rPr>
            <i/>
            <sz val="14"/>
            <color rgb="FF000000"/>
            <rFont val="Times New Roman"/>
            <family val="18"/>
          </rPr>
          <t>Zurück in die Kompanie eingerückt</t>
        </r>
        <r>
          <rPr>
            <sz val="14"/>
            <color rgb="FF000000"/>
            <rFont val="Times New Roman"/>
            <family val="18"/>
          </rPr>
          <t xml:space="preserve"> [ST Aug 1809]</t>
        </r>
        <r>
          <rPr>
            <sz val="14"/>
            <color rgb="FF000000"/>
            <rFont val="Calibri"/>
            <family val="34"/>
          </rPr>
          <t xml:space="preserve">
</t>
        </r>
        <r>
          <rPr>
            <sz val="14"/>
            <color rgb="FF000000"/>
            <rFont val="Times New Roman"/>
            <family val="18"/>
          </rPr>
          <t>24/01/1810</t>
        </r>
        <r>
          <rPr>
            <i/>
            <sz val="14"/>
            <color rgb="FF000000"/>
            <rFont val="Times New Roman"/>
            <family val="18"/>
          </rPr>
          <t xml:space="preserve"> Als freiwillig auf die Kriegsdauer gestellte mit Abschied Entlassen</t>
        </r>
        <r>
          <rPr>
            <sz val="14"/>
            <color rgb="FF000000"/>
            <rFont val="Times New Roman"/>
            <family val="18"/>
          </rPr>
          <t xml:space="preserve"> [ST Jan 1810]</t>
        </r>
      </text>
    </comment>
    <comment ref="BG12" authorId="0" shapeId="0" xr:uid="{07A54444-C25C-5E43-BB10-0B8460DDA2FB}">
      <text>
        <r>
          <rPr>
            <sz val="14"/>
            <color rgb="FF000000"/>
            <rFont val="Times New Roman"/>
            <family val="18"/>
          </rPr>
          <t>ML 10.819 Legion EH Carl 6. Bat – AL Nr. 79 (Kuttenberg 13/03/1809), ST March (Prague 06/09/1809), ST Sept (Prague 30/06/1810), ST Oct (Prague 31/10/1810), ST Aug 1810 (Prague 12/11/1810)</t>
        </r>
        <r>
          <rPr>
            <sz val="14"/>
            <color rgb="FF000000"/>
            <rFont val="Calibri"/>
            <family val="34"/>
          </rPr>
          <t xml:space="preserve">
</t>
        </r>
        <r>
          <rPr>
            <sz val="14"/>
            <color rgb="FF000000"/>
            <rFont val="Calibri"/>
            <family val="34"/>
          </rPr>
          <t xml:space="preserve">
</t>
        </r>
      </text>
    </comment>
    <comment ref="BH12" authorId="0" shapeId="0" xr:uid="{1DF1A37A-F108-994F-A2DB-3BF3AA033DE1}">
      <text>
        <r>
          <rPr>
            <sz val="14"/>
            <color rgb="FF000000"/>
            <rFont val="Calibri"/>
            <family val="34"/>
          </rPr>
          <t xml:space="preserve">Chrudim LWB 2 (1808-1809)
</t>
        </r>
        <r>
          <rPr>
            <sz val="14"/>
            <color rgb="FF000000"/>
            <rFont val="Calibri"/>
            <family val="34"/>
          </rPr>
          <t>Legion EH Carl (1809-1810)</t>
        </r>
      </text>
    </comment>
    <comment ref="BF13" authorId="0" shapeId="0" xr:uid="{D3CDC56B-2FAC-4E4D-AC83-841937D543F5}">
      <text>
        <r>
          <rPr>
            <sz val="14"/>
            <color rgb="FF000000"/>
            <rFont val="Times New Roman"/>
            <family val="18"/>
          </rPr>
          <t xml:space="preserve">24/03/1809 </t>
        </r>
        <r>
          <rPr>
            <i/>
            <sz val="14"/>
            <color rgb="FF000000"/>
            <rFont val="Times New Roman"/>
            <family val="18"/>
          </rPr>
          <t>Zu Chrudim gegen 15 Fl Handgeld auf die Kriegsdauer ins EH Karl Legion 3. Bataillon assentiert und zum 3. Kompanie</t>
        </r>
        <r>
          <rPr>
            <sz val="14"/>
            <color rgb="FF000000"/>
            <rFont val="Times New Roman"/>
            <family val="18"/>
          </rPr>
          <t xml:space="preserve"> zugeteilt [AL &amp; ST March 1809]</t>
        </r>
        <r>
          <rPr>
            <sz val="14"/>
            <color rgb="FF000000"/>
            <rFont val="Calibri"/>
            <family val="34"/>
          </rPr>
          <t xml:space="preserve">
</t>
        </r>
        <r>
          <rPr>
            <sz val="14"/>
            <color rgb="FF000000"/>
            <rFont val="Times New Roman"/>
            <family val="18"/>
          </rPr>
          <t xml:space="preserve">10/06/1809 </t>
        </r>
        <r>
          <rPr>
            <i/>
            <sz val="14"/>
            <color rgb="FF000000"/>
            <rFont val="Times New Roman"/>
            <family val="18"/>
          </rPr>
          <t>Krank in Armee Spital zu Hirschstetten</t>
        </r>
        <r>
          <rPr>
            <sz val="14"/>
            <color rgb="FF000000"/>
            <rFont val="Times New Roman"/>
            <family val="18"/>
          </rPr>
          <t xml:space="preserve"> [ST June 1809] </t>
        </r>
        <r>
          <rPr>
            <sz val="14"/>
            <color rgb="FF000000"/>
            <rFont val="Calibri"/>
            <family val="34"/>
          </rPr>
          <t xml:space="preserve">
</t>
        </r>
        <r>
          <rPr>
            <sz val="14"/>
            <color rgb="FF000000"/>
            <rFont val="Times New Roman"/>
            <family val="18"/>
          </rPr>
          <t xml:space="preserve">20/07/1809 </t>
        </r>
        <r>
          <rPr>
            <i/>
            <sz val="14"/>
            <color rgb="FF000000"/>
            <rFont val="Times New Roman"/>
            <family val="18"/>
          </rPr>
          <t>Rekonvalesziert</t>
        </r>
        <r>
          <rPr>
            <sz val="14"/>
            <color rgb="FF000000"/>
            <rFont val="Times New Roman"/>
            <family val="18"/>
          </rPr>
          <t xml:space="preserve"> [ST Juli 1809)</t>
        </r>
        <r>
          <rPr>
            <sz val="14"/>
            <color rgb="FF000000"/>
            <rFont val="Calibri"/>
            <family val="34"/>
          </rPr>
          <t xml:space="preserve">
</t>
        </r>
        <r>
          <rPr>
            <sz val="14"/>
            <color rgb="FF000000"/>
            <rFont val="Times New Roman"/>
            <family val="18"/>
          </rPr>
          <t xml:space="preserve">17/08/1809 </t>
        </r>
        <r>
          <rPr>
            <i/>
            <sz val="14"/>
            <color rgb="FF000000"/>
            <rFont val="Times New Roman"/>
            <family val="18"/>
          </rPr>
          <t xml:space="preserve">Krank in Armee Spitalern </t>
        </r>
        <r>
          <rPr>
            <sz val="14"/>
            <color rgb="FF000000"/>
            <rFont val="Times New Roman"/>
            <family val="18"/>
          </rPr>
          <t>[ST Aug 1809]</t>
        </r>
        <r>
          <rPr>
            <sz val="14"/>
            <color rgb="FF000000"/>
            <rFont val="Calibri"/>
            <family val="34"/>
          </rPr>
          <t xml:space="preserve">
</t>
        </r>
        <r>
          <rPr>
            <sz val="14"/>
            <color rgb="FF000000"/>
            <rFont val="Times New Roman"/>
            <family val="18"/>
          </rPr>
          <t xml:space="preserve">10/10/1809 </t>
        </r>
        <r>
          <rPr>
            <i/>
            <sz val="14"/>
            <color rgb="FF000000"/>
            <rFont val="Times New Roman"/>
            <family val="18"/>
          </rPr>
          <t>Rekonvalesziert</t>
        </r>
        <r>
          <rPr>
            <sz val="14"/>
            <color rgb="FF000000"/>
            <rFont val="Times New Roman"/>
            <family val="18"/>
          </rPr>
          <t xml:space="preserve"> [ST Oct 1809)</t>
        </r>
        <r>
          <rPr>
            <sz val="14"/>
            <color rgb="FF000000"/>
            <rFont val="Calibri"/>
            <family val="34"/>
          </rPr>
          <t xml:space="preserve">
</t>
        </r>
        <r>
          <rPr>
            <sz val="14"/>
            <color rgb="FF000000"/>
            <rFont val="Times New Roman"/>
            <family val="18"/>
          </rPr>
          <t xml:space="preserve">01/11/1809 </t>
        </r>
        <r>
          <rPr>
            <i/>
            <sz val="14"/>
            <color rgb="FF000000"/>
            <rFont val="Times New Roman"/>
            <family val="18"/>
          </rPr>
          <t xml:space="preserve">Krank in Armee Spital </t>
        </r>
        <r>
          <rPr>
            <sz val="14"/>
            <color rgb="FF000000"/>
            <rFont val="Times New Roman"/>
            <family val="18"/>
          </rPr>
          <t>[ST Nov 1809]</t>
        </r>
        <r>
          <rPr>
            <sz val="14"/>
            <color rgb="FF000000"/>
            <rFont val="Calibri"/>
            <family val="34"/>
          </rPr>
          <t xml:space="preserve">
</t>
        </r>
        <r>
          <rPr>
            <sz val="14"/>
            <color rgb="FF000000"/>
            <rFont val="Times New Roman"/>
            <family val="18"/>
          </rPr>
          <t>31/01/1810</t>
        </r>
        <r>
          <rPr>
            <i/>
            <sz val="14"/>
            <color rgb="FF000000"/>
            <rFont val="Times New Roman"/>
            <family val="18"/>
          </rPr>
          <t xml:space="preserve"> Als freiwillig auf die Kriegsdauer gestellte mit Abschied Entlassen</t>
        </r>
        <r>
          <rPr>
            <sz val="14"/>
            <color rgb="FF000000"/>
            <rFont val="Times New Roman"/>
            <family val="18"/>
          </rPr>
          <t xml:space="preserve"> [ST Jan 1810]</t>
        </r>
      </text>
    </comment>
    <comment ref="BG13" authorId="0" shapeId="0" xr:uid="{AE21D8B9-8B02-4F4C-98F5-9A7A26D3D2BC}">
      <text>
        <r>
          <rPr>
            <sz val="14"/>
            <color rgb="FF000000"/>
            <rFont val="Times New Roman"/>
            <family val="18"/>
          </rPr>
          <t>ML 10.816 EH Carl FK 3. Bat. (1809-10) – AL Nr. 729 (Chrudim 31/03/1809), ST March (Prague 10/07/1809), June (Prague 28/04/1810), July (Prague 28/04/1810), Aug (Prague 28/05/1810), Oct (Prague 31/07/1810), Nov (Prague 08/08/1810), Jan 1810 (Prague 23/08/1810)</t>
        </r>
        <r>
          <rPr>
            <sz val="14"/>
            <color rgb="FF000000"/>
            <rFont val="Calibri"/>
            <family val="34"/>
          </rPr>
          <t xml:space="preserve">
</t>
        </r>
      </text>
    </comment>
    <comment ref="BH13" authorId="0" shapeId="0" xr:uid="{B28BB020-F778-504E-A321-79DFFC6F9CEC}">
      <text>
        <r>
          <rPr>
            <sz val="14"/>
            <color rgb="FF000000"/>
            <rFont val="Calibri"/>
            <family val="34"/>
          </rPr>
          <t>Legion EH Carl (1809-1810)</t>
        </r>
      </text>
    </comment>
    <comment ref="T15" authorId="0" shapeId="0" xr:uid="{54C16298-5C42-E147-965F-5870E0570290}">
      <text>
        <r>
          <rPr>
            <sz val="14"/>
            <color rgb="FF000000"/>
            <rFont val="Calibri"/>
            <family val="34"/>
          </rPr>
          <t xml:space="preserve">5.3.2 [(166.33 (ML 1803-6)]
</t>
        </r>
        <r>
          <rPr>
            <sz val="14"/>
            <color rgb="FF000000"/>
            <rFont val="Calibri"/>
            <family val="34"/>
          </rPr>
          <t>5.4 [168.52 cm (TL 18010)]</t>
        </r>
      </text>
    </comment>
    <comment ref="BF15" authorId="0" shapeId="0" xr:uid="{01CE257B-6C48-6A42-9F5A-1DFAF049BEDD}">
      <text>
        <r>
          <rPr>
            <sz val="14"/>
            <color rgb="FF000000"/>
            <rFont val="Times New Roman"/>
            <family val="18"/>
          </rPr>
          <t xml:space="preserve">16/11/1799 </t>
        </r>
        <r>
          <rPr>
            <i/>
            <sz val="14"/>
            <color rgb="FF000000"/>
            <rFont val="Times New Roman"/>
            <family val="18"/>
          </rPr>
          <t>Gegen 3Fl Handgeld zu Reus Blauen Infant. in Galizien assentiert</t>
        </r>
        <r>
          <rPr>
            <sz val="14"/>
            <color rgb="FF000000"/>
            <rFont val="Times New Roman"/>
            <family val="18"/>
          </rPr>
          <t xml:space="preserve"> [ML 1803]</t>
        </r>
        <r>
          <rPr>
            <sz val="14"/>
            <color rgb="FF000000"/>
            <rFont val="Aptos"/>
            <family val="34"/>
          </rPr>
          <t xml:space="preserve">
</t>
        </r>
        <r>
          <rPr>
            <sz val="14"/>
            <color rgb="FF000000"/>
            <rFont val="Times New Roman"/>
            <family val="18"/>
          </rPr>
          <t>14/09/1803 Muster: IR 17 Haupt Hartleib Komp. Nr. 57</t>
        </r>
        <r>
          <rPr>
            <sz val="14"/>
            <color rgb="FF000000"/>
            <rFont val="Aptos"/>
            <family val="34"/>
          </rPr>
          <t xml:space="preserve">
</t>
        </r>
        <r>
          <rPr>
            <sz val="14"/>
            <color rgb="FF000000"/>
            <rFont val="Times New Roman"/>
            <family val="18"/>
          </rPr>
          <t xml:space="preserve">21/08/1804 Muster: IR 17 Haupt Hartleib Komp. Nr. 56 </t>
        </r>
        <r>
          <rPr>
            <sz val="14"/>
            <color rgb="FF000000"/>
            <rFont val="Aptos"/>
            <family val="34"/>
          </rPr>
          <t xml:space="preserve">
</t>
        </r>
        <r>
          <rPr>
            <sz val="14"/>
            <color rgb="FF000000"/>
            <rFont val="Times New Roman"/>
            <family val="18"/>
          </rPr>
          <t xml:space="preserve">01/09/1805 </t>
        </r>
        <r>
          <rPr>
            <i/>
            <sz val="14"/>
            <color rgb="FF000000"/>
            <rFont val="Times New Roman"/>
            <family val="18"/>
          </rPr>
          <t>Zum Gefreyter avanciert</t>
        </r>
        <r>
          <rPr>
            <sz val="14"/>
            <color rgb="FF000000"/>
            <rFont val="Times New Roman"/>
            <family val="18"/>
          </rPr>
          <t xml:space="preserve"> [TL March 1810]</t>
        </r>
        <r>
          <rPr>
            <sz val="14"/>
            <color rgb="FF000000"/>
            <rFont val="Aptos"/>
            <family val="34"/>
          </rPr>
          <t xml:space="preserve">
</t>
        </r>
        <r>
          <rPr>
            <sz val="14"/>
            <color rgb="FF000000"/>
            <rFont val="Times New Roman"/>
            <family val="18"/>
          </rPr>
          <t xml:space="preserve">18/10/1805 </t>
        </r>
        <r>
          <rPr>
            <i/>
            <sz val="14"/>
            <color rgb="FF000000"/>
            <rFont val="Times New Roman"/>
            <family val="18"/>
          </rPr>
          <t xml:space="preserve">Bei Benzenzimmern in die französische Kriegsgefangenschaft geraten </t>
        </r>
        <r>
          <rPr>
            <sz val="14"/>
            <color rgb="FF000000"/>
            <rFont val="Times New Roman"/>
            <family val="18"/>
          </rPr>
          <t>[ML 1806]</t>
        </r>
        <r>
          <rPr>
            <sz val="14"/>
            <color rgb="FF000000"/>
            <rFont val="Aptos"/>
            <family val="34"/>
          </rPr>
          <t xml:space="preserve">
</t>
        </r>
        <r>
          <rPr>
            <sz val="14"/>
            <color rgb="FF000000"/>
            <rFont val="Times New Roman"/>
            <family val="18"/>
          </rPr>
          <t xml:space="preserve">09/11/1805 </t>
        </r>
        <r>
          <rPr>
            <i/>
            <sz val="14"/>
            <color rgb="FF000000"/>
            <rFont val="Times New Roman"/>
            <family val="18"/>
          </rPr>
          <t>Sich selbst ranzioniert und in loco präsentiert</t>
        </r>
        <r>
          <rPr>
            <sz val="14"/>
            <color rgb="FF000000"/>
            <rFont val="Times New Roman"/>
            <family val="18"/>
          </rPr>
          <t xml:space="preserve"> [ML 1805]</t>
        </r>
        <r>
          <rPr>
            <sz val="14"/>
            <color rgb="FF000000"/>
            <rFont val="Aptos"/>
            <family val="34"/>
          </rPr>
          <t xml:space="preserve">
</t>
        </r>
        <r>
          <rPr>
            <sz val="14"/>
            <color rgb="FF000000"/>
            <rFont val="Times New Roman"/>
            <family val="18"/>
          </rPr>
          <t xml:space="preserve">21/11/1805 </t>
        </r>
        <r>
          <rPr>
            <i/>
            <sz val="14"/>
            <color rgb="FF000000"/>
            <rFont val="Times New Roman"/>
            <family val="18"/>
          </rPr>
          <t>Von 10. Fus. Komp. zum neu formierte Haupt Steinhausen Komp. transferiert</t>
        </r>
        <r>
          <rPr>
            <sz val="14"/>
            <color rgb="FF000000"/>
            <rFont val="Times New Roman"/>
            <family val="18"/>
          </rPr>
          <t xml:space="preserve"> [ML 1806]</t>
        </r>
        <r>
          <rPr>
            <sz val="14"/>
            <color rgb="FF000000"/>
            <rFont val="Aptos"/>
            <family val="34"/>
          </rPr>
          <t xml:space="preserve">
</t>
        </r>
        <r>
          <rPr>
            <sz val="14"/>
            <color rgb="FF000000"/>
            <rFont val="Times New Roman"/>
            <family val="18"/>
          </rPr>
          <t xml:space="preserve">01/04/1806 </t>
        </r>
        <r>
          <rPr>
            <i/>
            <sz val="14"/>
            <color rgb="FF000000"/>
            <rFont val="Times New Roman"/>
            <family val="18"/>
          </rPr>
          <t>Von Dissolvierte Haupt Steinhausen zum 10. Fus. Komp. transferiert</t>
        </r>
        <r>
          <rPr>
            <sz val="14"/>
            <color rgb="FF000000"/>
            <rFont val="Times New Roman"/>
            <family val="18"/>
          </rPr>
          <t xml:space="preserve"> [ML 1806]</t>
        </r>
        <r>
          <rPr>
            <sz val="14"/>
            <color rgb="FF000000"/>
            <rFont val="Aptos"/>
            <family val="34"/>
          </rPr>
          <t xml:space="preserve">
</t>
        </r>
        <r>
          <rPr>
            <sz val="14"/>
            <color rgb="FF000000"/>
            <rFont val="Times New Roman"/>
            <family val="18"/>
          </rPr>
          <t>20/12/1806 Muster: IR 17 10. Fus. Komp. Nr. 26</t>
        </r>
        <r>
          <rPr>
            <sz val="14"/>
            <color rgb="FF000000"/>
            <rFont val="Aptos"/>
            <family val="34"/>
          </rPr>
          <t xml:space="preserve">
</t>
        </r>
        <r>
          <rPr>
            <sz val="14"/>
            <color rgb="FF000000"/>
            <rFont val="Times New Roman"/>
            <family val="18"/>
          </rPr>
          <t xml:space="preserve">11/03/1809 </t>
        </r>
        <r>
          <rPr>
            <i/>
            <sz val="14"/>
            <color rgb="FF000000"/>
            <rFont val="Times New Roman"/>
            <family val="18"/>
          </rPr>
          <t xml:space="preserve">Von Reuss Plauen Inf  </t>
        </r>
        <r>
          <rPr>
            <b/>
            <sz val="14"/>
            <color rgb="FF000000"/>
            <rFont val="Times New Roman"/>
            <family val="18"/>
          </rPr>
          <t xml:space="preserve">[IR 17] </t>
        </r>
        <r>
          <rPr>
            <i/>
            <sz val="14"/>
            <color rgb="FF000000"/>
            <rFont val="Times New Roman"/>
            <family val="18"/>
          </rPr>
          <t>zum EH Carl Legion 4. Bataillon transferiert</t>
        </r>
        <r>
          <rPr>
            <sz val="14"/>
            <color rgb="FF000000"/>
            <rFont val="Times New Roman"/>
            <family val="18"/>
          </rPr>
          <t xml:space="preserve"> [ST March 1809 &amp; TL March 1810]</t>
        </r>
        <r>
          <rPr>
            <sz val="14"/>
            <color rgb="FF000000"/>
            <rFont val="Aptos"/>
            <family val="34"/>
          </rPr>
          <t xml:space="preserve">
</t>
        </r>
        <r>
          <rPr>
            <sz val="14"/>
            <color rgb="FF000000"/>
            <rFont val="Times New Roman"/>
            <family val="18"/>
          </rPr>
          <t xml:space="preserve">11/06/1809 </t>
        </r>
        <r>
          <rPr>
            <i/>
            <sz val="14"/>
            <color rgb="FF000000"/>
            <rFont val="Times New Roman"/>
            <family val="18"/>
          </rPr>
          <t>Zum Corporal avanciert</t>
        </r>
        <r>
          <rPr>
            <sz val="14"/>
            <color rgb="FF000000"/>
            <rFont val="Times New Roman"/>
            <family val="18"/>
          </rPr>
          <t xml:space="preserve"> [ST June 1809 &amp; TL March 1810]</t>
        </r>
        <r>
          <rPr>
            <sz val="14"/>
            <color rgb="FF000000"/>
            <rFont val="Aptos"/>
            <family val="34"/>
          </rPr>
          <t xml:space="preserve">
</t>
        </r>
        <r>
          <rPr>
            <sz val="14"/>
            <color rgb="FF000000"/>
            <rFont val="Times New Roman"/>
            <family val="18"/>
          </rPr>
          <t xml:space="preserve">25/01/1810 </t>
        </r>
        <r>
          <rPr>
            <i/>
            <sz val="14"/>
            <color rgb="FF000000"/>
            <rFont val="Times New Roman"/>
            <family val="18"/>
          </rPr>
          <t>Von EH Carl Legion 4. Bataillon 1. Komp. zum IR 17 ‚Reus Plauen‘ transferiert</t>
        </r>
        <r>
          <rPr>
            <sz val="14"/>
            <color rgb="FF000000"/>
            <rFont val="Times New Roman"/>
            <family val="18"/>
          </rPr>
          <t xml:space="preserve"> [TL March 1810 &amp; ST Jan 1810]</t>
        </r>
        <r>
          <rPr>
            <sz val="14"/>
            <color rgb="FF000000"/>
            <rFont val="Aptos"/>
            <family val="34"/>
          </rPr>
          <t xml:space="preserve">
</t>
        </r>
        <r>
          <rPr>
            <sz val="14"/>
            <color rgb="FF000000"/>
            <rFont val="Times New Roman"/>
            <family val="18"/>
          </rPr>
          <t xml:space="preserve">31/07/1811 </t>
        </r>
        <r>
          <rPr>
            <i/>
            <sz val="14"/>
            <color rgb="FF000000"/>
            <rFont val="Times New Roman"/>
            <family val="18"/>
          </rPr>
          <t>Als ausgedienter Inländer Capitulant mit Abschied entlassen</t>
        </r>
        <r>
          <rPr>
            <sz val="14"/>
            <color rgb="FF000000"/>
            <rFont val="Times New Roman"/>
            <family val="18"/>
          </rPr>
          <t xml:space="preserve"> [ML 1811]</t>
        </r>
      </text>
    </comment>
    <comment ref="BG15" authorId="0" shapeId="0" xr:uid="{E42A729F-81DF-384D-8EF1-93B254B1612A}">
      <text>
        <r>
          <rPr>
            <sz val="14"/>
            <color rgb="FF000000"/>
            <rFont val="Times New Roman"/>
            <family val="18"/>
          </rPr>
          <t>ML 1316 IR 17 (1803) – Haupt Hartleib Komp. Nr. 57 (Leitmeritz 14/09/1803)</t>
        </r>
        <r>
          <rPr>
            <sz val="14"/>
            <color rgb="FF000000"/>
            <rFont val="Aptos"/>
            <family val="34"/>
          </rPr>
          <t xml:space="preserve">
</t>
        </r>
        <r>
          <rPr>
            <sz val="14"/>
            <color rgb="FF000000"/>
            <rFont val="Times New Roman"/>
            <family val="18"/>
          </rPr>
          <t>ML 1317/8 IR 17 (1804) – Haupt Hartleib Komp. Nr. 56 (Theresienstadt 21/08/1804)</t>
        </r>
        <r>
          <rPr>
            <sz val="14"/>
            <color rgb="FF000000"/>
            <rFont val="Aptos"/>
            <family val="34"/>
          </rPr>
          <t xml:space="preserve">
</t>
        </r>
        <r>
          <rPr>
            <sz val="14"/>
            <color rgb="FF000000"/>
            <rFont val="Times New Roman"/>
            <family val="18"/>
          </rPr>
          <t>ML 1319/21 IR 17 (1806) – 10. Fus. Komp. Nr. 26 (Theresienstadt 20/12/1806)</t>
        </r>
        <r>
          <rPr>
            <sz val="14"/>
            <color rgb="FF000000"/>
            <rFont val="Aptos"/>
            <family val="34"/>
          </rPr>
          <t xml:space="preserve">
</t>
        </r>
        <r>
          <rPr>
            <sz val="14"/>
            <color rgb="FF000000"/>
            <rFont val="Times New Roman"/>
            <family val="18"/>
          </rPr>
          <t>ML 1323/4 IR 17 (1811) – 10. Fus. Komp. Abgang (Josephstadt 17/09/1811)</t>
        </r>
        <r>
          <rPr>
            <sz val="14"/>
            <color rgb="FF000000"/>
            <rFont val="Aptos"/>
            <family val="34"/>
          </rPr>
          <t xml:space="preserve">
</t>
        </r>
        <r>
          <rPr>
            <sz val="14"/>
            <color rgb="FF000000"/>
            <rFont val="Times New Roman"/>
            <family val="18"/>
          </rPr>
          <t>ML 10.818 Legion EH Carl 4. Bat. (1809-10) – TL Nr. 2 (Prague 17/03/1810); ST March 1809 (Prague 23/03/1810), June 1809 (Prague 28/06/1810), Jan 1810 (05/11/1810)</t>
        </r>
        <r>
          <rPr>
            <sz val="14"/>
            <color rgb="FF000000"/>
            <rFont val="Aptos"/>
            <family val="34"/>
          </rPr>
          <t xml:space="preserve">
</t>
        </r>
      </text>
    </comment>
    <comment ref="BH15" authorId="0" shapeId="0" xr:uid="{0CF8430B-0890-5242-B24E-E0B9067972C3}">
      <text>
        <r>
          <rPr>
            <sz val="14"/>
            <color rgb="FF000000"/>
            <rFont val="Calibri"/>
            <family val="34"/>
          </rPr>
          <t xml:space="preserve">IR 17 (1799-1809)
</t>
        </r>
        <r>
          <rPr>
            <sz val="14"/>
            <color rgb="FF000000"/>
            <rFont val="Calibri"/>
            <family val="34"/>
          </rPr>
          <t xml:space="preserve">Legion EH Carl (1809-1810)
</t>
        </r>
        <r>
          <rPr>
            <sz val="14"/>
            <color rgb="FF000000"/>
            <rFont val="Calibri"/>
            <family val="34"/>
          </rPr>
          <t>IR 17 (1810-1811)</t>
        </r>
      </text>
    </comment>
    <comment ref="BI15" authorId="0" shapeId="0" xr:uid="{6714502D-A6A4-BB4D-93CF-D8CB545C3EB2}">
      <text>
        <r>
          <rPr>
            <i/>
            <sz val="14"/>
            <color rgb="FF000000"/>
            <rFont val="Calibri"/>
            <family val="34"/>
          </rPr>
          <t xml:space="preserve">Gute </t>
        </r>
        <r>
          <rPr>
            <sz val="14"/>
            <color rgb="FF000000"/>
            <rFont val="Calibri"/>
            <family val="34"/>
          </rPr>
          <t>[TL March 1810]</t>
        </r>
      </text>
    </comment>
    <comment ref="K16" authorId="0" shapeId="0" xr:uid="{B7802452-8C71-B240-BB9C-DA44A756C711}">
      <text>
        <r>
          <rPr>
            <sz val="14"/>
            <color rgb="FF000000"/>
            <rFont val="Calibri"/>
            <family val="34"/>
          </rPr>
          <t xml:space="preserve">Ohne (1806-1807)
</t>
        </r>
        <r>
          <rPr>
            <sz val="14"/>
            <color rgb="FF000000"/>
            <rFont val="Calibri"/>
            <family val="34"/>
          </rPr>
          <t>Fleischhacker (1809)</t>
        </r>
      </text>
    </comment>
    <comment ref="T16" authorId="0" shapeId="0" xr:uid="{6806E8E3-185A-B746-86A6-F44326E98111}">
      <text>
        <r>
          <rPr>
            <sz val="14"/>
            <color rgb="FF000000"/>
            <rFont val="Calibri"/>
            <family val="34"/>
          </rPr>
          <t xml:space="preserve">5.2.2 [163.7 cm (AL 1809)]
</t>
        </r>
        <r>
          <rPr>
            <b/>
            <sz val="14"/>
            <color rgb="FF000000"/>
            <rFont val="Calibri"/>
            <family val="34"/>
          </rPr>
          <t>5.2.3 [163.92 cm (ML 1806/7)]</t>
        </r>
      </text>
    </comment>
    <comment ref="BF16" authorId="0" shapeId="0" xr:uid="{F188132F-51D7-ED42-A972-55D79410B192}">
      <text>
        <r>
          <rPr>
            <sz val="14"/>
            <color rgb="FF000000"/>
            <rFont val="Times New Roman"/>
            <family val="18"/>
          </rPr>
          <t xml:space="preserve">06/09/1805 </t>
        </r>
        <r>
          <rPr>
            <i/>
            <sz val="14"/>
            <color rgb="FF000000"/>
            <rFont val="Times New Roman"/>
            <family val="18"/>
          </rPr>
          <t>A 3Fl Handgeld als Werbbezirk Rekrut zum IR 17 assentiert und zum 7. Fus. Komp. eingeteilt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18/10/1805 </t>
        </r>
        <r>
          <rPr>
            <i/>
            <sz val="14"/>
            <color rgb="FF000000"/>
            <rFont val="Times New Roman"/>
            <family val="18"/>
          </rPr>
          <t xml:space="preserve">Bei Benzenzimmern </t>
        </r>
        <r>
          <rPr>
            <b/>
            <sz val="14"/>
            <color rgb="FF000000"/>
            <rFont val="Times New Roman"/>
            <family val="18"/>
          </rPr>
          <t>[Capitulation von Treuchtlingen]</t>
        </r>
        <r>
          <rPr>
            <i/>
            <sz val="14"/>
            <color rgb="FF000000"/>
            <rFont val="Times New Roman"/>
            <family val="18"/>
          </rPr>
          <t xml:space="preserve"> in die französische Kriegsgefangenschaft geraten </t>
        </r>
        <r>
          <rPr>
            <sz val="14"/>
            <color rgb="FF000000"/>
            <rFont val="Times New Roman"/>
            <family val="18"/>
          </rPr>
          <t>[TL Sept 1807]</t>
        </r>
        <r>
          <rPr>
            <sz val="14"/>
            <color rgb="FF000000"/>
            <rFont val="Calibri"/>
            <family val="34"/>
          </rPr>
          <t xml:space="preserve">
</t>
        </r>
        <r>
          <rPr>
            <sz val="14"/>
            <color rgb="FF000000"/>
            <rFont val="Times New Roman"/>
            <family val="18"/>
          </rPr>
          <t xml:space="preserve">02/01/1806 </t>
        </r>
        <r>
          <rPr>
            <i/>
            <sz val="14"/>
            <color rgb="FF000000"/>
            <rFont val="Times New Roman"/>
            <family val="18"/>
          </rPr>
          <t>Von Kriegsgefangenschaft sich selbst ranzioniert und in loco zum 2. Reserve Abt. präsentiert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01/04/1806 </t>
        </r>
        <r>
          <rPr>
            <i/>
            <sz val="14"/>
            <color rgb="FF000000"/>
            <rFont val="Times New Roman"/>
            <family val="18"/>
          </rPr>
          <t>Von dissolvierte 2. Reserve Abt. zurück zum 7. Fus. Komp. transferiert</t>
        </r>
        <r>
          <rPr>
            <sz val="14"/>
            <color rgb="FF000000"/>
            <rFont val="Times New Roman"/>
            <family val="18"/>
          </rPr>
          <t xml:space="preserve"> [ML 1806]</t>
        </r>
        <r>
          <rPr>
            <sz val="14"/>
            <color rgb="FF000000"/>
            <rFont val="Calibri"/>
            <family val="34"/>
          </rPr>
          <t xml:space="preserve">
</t>
        </r>
        <r>
          <rPr>
            <sz val="14"/>
            <color rgb="FFFF0000"/>
            <rFont val="Times New Roman"/>
            <family val="18"/>
          </rPr>
          <t xml:space="preserve">11/1806 </t>
        </r>
        <r>
          <rPr>
            <i/>
            <sz val="14"/>
            <color rgb="FFFF0000"/>
            <rFont val="Times New Roman"/>
            <family val="18"/>
          </rPr>
          <t>Sich selbst ranzioniert</t>
        </r>
        <r>
          <rPr>
            <sz val="14"/>
            <color rgb="FFFF0000"/>
            <rFont val="Times New Roman"/>
            <family val="18"/>
          </rPr>
          <t xml:space="preserve"> [TL Sept 1807]</t>
        </r>
        <r>
          <rPr>
            <sz val="14"/>
            <color rgb="FF000000"/>
            <rFont val="Calibri"/>
            <family val="34"/>
          </rPr>
          <t xml:space="preserve">
</t>
        </r>
        <r>
          <rPr>
            <sz val="14"/>
            <color rgb="FF000000"/>
            <rFont val="Times New Roman"/>
            <family val="18"/>
          </rPr>
          <t>20/12/1806 Muster: IR 17 7. Fus. Komp. Nr. 78</t>
        </r>
        <r>
          <rPr>
            <sz val="14"/>
            <color rgb="FF000000"/>
            <rFont val="Calibri"/>
            <family val="34"/>
          </rPr>
          <t xml:space="preserve">
</t>
        </r>
        <r>
          <rPr>
            <sz val="14"/>
            <color rgb="FF000000"/>
            <rFont val="Times New Roman"/>
            <family val="18"/>
          </rPr>
          <t xml:space="preserve">01/05/1807 </t>
        </r>
        <r>
          <rPr>
            <i/>
            <sz val="14"/>
            <color rgb="FF000000"/>
            <rFont val="Times New Roman"/>
            <family val="18"/>
          </rPr>
          <t>Krank in Prag</t>
        </r>
        <r>
          <rPr>
            <sz val="14"/>
            <color rgb="FF000000"/>
            <rFont val="Times New Roman"/>
            <family val="18"/>
          </rPr>
          <t xml:space="preserve"> [ST May 1807]</t>
        </r>
        <r>
          <rPr>
            <sz val="14"/>
            <color rgb="FF000000"/>
            <rFont val="Calibri"/>
            <family val="34"/>
          </rPr>
          <t xml:space="preserve">
</t>
        </r>
        <r>
          <rPr>
            <sz val="14"/>
            <color rgb="FF000000"/>
            <rFont val="Times New Roman"/>
            <family val="18"/>
          </rPr>
          <t xml:space="preserve">10/09/1807 </t>
        </r>
        <r>
          <rPr>
            <i/>
            <sz val="14"/>
            <color rgb="FF000000"/>
            <rFont val="Times New Roman"/>
            <family val="18"/>
          </rPr>
          <t xml:space="preserve">Von 7. Fus. Komp. </t>
        </r>
        <r>
          <rPr>
            <sz val="14"/>
            <color rgb="FF000000"/>
            <rFont val="Times New Roman"/>
            <family val="18"/>
          </rPr>
          <t xml:space="preserve">[Haupt von Prahl] </t>
        </r>
        <r>
          <rPr>
            <i/>
            <sz val="14"/>
            <color rgb="FF000000"/>
            <rFont val="Times New Roman"/>
            <family val="18"/>
          </rPr>
          <t>zum IngH Prag zu Versorgung als Reale Invalid transferiert</t>
        </r>
        <r>
          <rPr>
            <sz val="14"/>
            <color rgb="FF000000"/>
            <rFont val="Times New Roman"/>
            <family val="18"/>
          </rPr>
          <t xml:space="preserve"> [TL Sept 1807 &amp; ST Sept 1807]</t>
        </r>
        <r>
          <rPr>
            <sz val="14"/>
            <color rgb="FF000000"/>
            <rFont val="Calibri"/>
            <family val="34"/>
          </rPr>
          <t xml:space="preserve">
</t>
        </r>
        <r>
          <rPr>
            <sz val="14"/>
            <color rgb="FF000000"/>
            <rFont val="Times New Roman"/>
            <family val="18"/>
          </rPr>
          <t xml:space="preserve">11/09/1807 </t>
        </r>
        <r>
          <rPr>
            <i/>
            <sz val="14"/>
            <color rgb="FF000000"/>
            <rFont val="Times New Roman"/>
            <family val="18"/>
          </rPr>
          <t>Kommt in InvH in Zuwachs und ist zum 19/20 Chambre zugeteilt, derselbe Tag mit Reservationsurkunde entlassen</t>
        </r>
        <r>
          <rPr>
            <sz val="14"/>
            <color rgb="FF000000"/>
            <rFont val="Times New Roman"/>
            <family val="18"/>
          </rPr>
          <t xml:space="preserve"> [ML 1808]</t>
        </r>
        <r>
          <rPr>
            <sz val="14"/>
            <color rgb="FF000000"/>
            <rFont val="Calibri"/>
            <family val="34"/>
          </rPr>
          <t xml:space="preserve">
</t>
        </r>
        <r>
          <rPr>
            <i/>
            <sz val="14"/>
            <color rgb="FF000000"/>
            <rFont val="Times New Roman"/>
            <family val="18"/>
          </rPr>
          <t>2 Jahren bei Reuss Plauen</t>
        </r>
        <r>
          <rPr>
            <sz val="14"/>
            <color rgb="FF000000"/>
            <rFont val="Times New Roman"/>
            <family val="18"/>
          </rPr>
          <t xml:space="preserve"> </t>
        </r>
        <r>
          <rPr>
            <b/>
            <sz val="14"/>
            <color rgb="FF000000"/>
            <rFont val="Times New Roman"/>
            <family val="18"/>
          </rPr>
          <t>[IR 17]</t>
        </r>
        <r>
          <rPr>
            <sz val="14"/>
            <color rgb="FF000000"/>
            <rFont val="Times New Roman"/>
            <family val="18"/>
          </rPr>
          <t xml:space="preserve"> gedient [AL 1809]</t>
        </r>
        <r>
          <rPr>
            <sz val="14"/>
            <color rgb="FF000000"/>
            <rFont val="Calibri"/>
            <family val="34"/>
          </rPr>
          <t xml:space="preserve">
</t>
        </r>
        <r>
          <rPr>
            <sz val="14"/>
            <color rgb="FF000000"/>
            <rFont val="Times New Roman"/>
            <family val="18"/>
          </rPr>
          <t xml:space="preserve">22/03/1809 </t>
        </r>
        <r>
          <rPr>
            <i/>
            <sz val="14"/>
            <color rgb="FF000000"/>
            <rFont val="Times New Roman"/>
            <family val="18"/>
          </rPr>
          <t xml:space="preserve">A 15Fl Handgeld als Eximierte Inländer Rekrut in Leitmeritz zum Legion EH Carl 4. Bataillon engagiert und zum 1. Kompanie zugeteilt </t>
        </r>
        <r>
          <rPr>
            <sz val="14"/>
            <color rgb="FF000000"/>
            <rFont val="Times New Roman"/>
            <family val="18"/>
          </rPr>
          <t>[AL March 1809 &amp; ST March 1809]</t>
        </r>
        <r>
          <rPr>
            <sz val="14"/>
            <color rgb="FF000000"/>
            <rFont val="Calibri"/>
            <family val="34"/>
          </rPr>
          <t xml:space="preserve">
</t>
        </r>
        <r>
          <rPr>
            <sz val="14"/>
            <color rgb="FF000000"/>
            <rFont val="Times New Roman"/>
            <family val="18"/>
          </rPr>
          <t xml:space="preserve">16/04/1809 </t>
        </r>
        <r>
          <rPr>
            <i/>
            <sz val="14"/>
            <color rgb="FF000000"/>
            <rFont val="Times New Roman"/>
            <family val="18"/>
          </rPr>
          <t>Zum Gefreyter avanciert</t>
        </r>
        <r>
          <rPr>
            <sz val="14"/>
            <color rgb="FF000000"/>
            <rFont val="Times New Roman"/>
            <family val="18"/>
          </rPr>
          <t xml:space="preserve"> [ST April 1809]</t>
        </r>
        <r>
          <rPr>
            <sz val="14"/>
            <color rgb="FF000000"/>
            <rFont val="Calibri"/>
            <family val="34"/>
          </rPr>
          <t xml:space="preserve">
</t>
        </r>
        <r>
          <rPr>
            <sz val="14"/>
            <color rgb="FF000000"/>
            <rFont val="Times New Roman"/>
            <family val="18"/>
          </rPr>
          <t xml:space="preserve">23/04/1809 </t>
        </r>
        <r>
          <rPr>
            <i/>
            <sz val="14"/>
            <color rgb="FF000000"/>
            <rFont val="Times New Roman"/>
            <family val="18"/>
          </rPr>
          <t>Während der Marche vermisst</t>
        </r>
        <r>
          <rPr>
            <sz val="14"/>
            <color rgb="FF000000"/>
            <rFont val="Times New Roman"/>
            <family val="18"/>
          </rPr>
          <t xml:space="preserve"> </t>
        </r>
        <r>
          <rPr>
            <b/>
            <sz val="14"/>
            <color rgb="FF000000"/>
            <rFont val="Times New Roman"/>
            <family val="18"/>
          </rPr>
          <t>[Schlacht bei Regensburg]</t>
        </r>
        <r>
          <rPr>
            <sz val="14"/>
            <color rgb="FF000000"/>
            <rFont val="Times New Roman"/>
            <family val="18"/>
          </rPr>
          <t xml:space="preserve"> [ST April 1809] </t>
        </r>
      </text>
    </comment>
    <comment ref="BG16" authorId="0" shapeId="0" xr:uid="{AC8C93EF-43AE-B54D-BAE1-52E7AF7F4886}">
      <text>
        <r>
          <rPr>
            <sz val="14"/>
            <color rgb="FF000000"/>
            <rFont val="Times New Roman"/>
            <family val="18"/>
          </rPr>
          <t>ML 1319-21 IR 17 (1806) – 7. Fus. Komp. Nr. 78 (Theresienstadt 20/12/1806)</t>
        </r>
        <r>
          <rPr>
            <sz val="14"/>
            <color rgb="FF000000"/>
            <rFont val="Calibri"/>
            <family val="34"/>
          </rPr>
          <t xml:space="preserve">
</t>
        </r>
        <r>
          <rPr>
            <sz val="14"/>
            <color rgb="FF000000"/>
            <rFont val="Times New Roman"/>
            <family val="18"/>
          </rPr>
          <t>ML 1322 IR 17 (1808) – 7. Fus. Komp. Abgang (Theresienstadt 12/09/1808)</t>
        </r>
        <r>
          <rPr>
            <sz val="14"/>
            <color rgb="FF000000"/>
            <rFont val="Calibri"/>
            <family val="34"/>
          </rPr>
          <t xml:space="preserve">
</t>
        </r>
        <r>
          <rPr>
            <sz val="14"/>
            <color rgb="FF000000"/>
            <rFont val="Times New Roman"/>
            <family val="18"/>
          </rPr>
          <t>ML 1370 IR 17 (1807) – ST May (Leitmeritz 10/08/1807), Sept (Leitmeritz 20/10/1807)</t>
        </r>
        <r>
          <rPr>
            <sz val="14"/>
            <color rgb="FF000000"/>
            <rFont val="Calibri"/>
            <family val="34"/>
          </rPr>
          <t xml:space="preserve">
</t>
        </r>
        <r>
          <rPr>
            <sz val="14"/>
            <color rgb="FF000000"/>
            <rFont val="Times New Roman"/>
            <family val="18"/>
          </rPr>
          <t>ML 1371 IR 17 (1807) – AL Nr. 1 (Leitmeritz 17/09/1807)</t>
        </r>
        <r>
          <rPr>
            <sz val="14"/>
            <color rgb="FF000000"/>
            <rFont val="Calibri"/>
            <family val="34"/>
          </rPr>
          <t xml:space="preserve">
</t>
        </r>
        <r>
          <rPr>
            <sz val="14"/>
            <color rgb="FF000000"/>
            <rFont val="Times New Roman"/>
            <family val="18"/>
          </rPr>
          <t>ML 9663 InvH Prag (1808) – 19./20. Chambre Zuwachs &amp; Abgang (Prague 12/07/1808)</t>
        </r>
        <r>
          <rPr>
            <sz val="14"/>
            <color rgb="FF000000"/>
            <rFont val="Calibri"/>
            <family val="34"/>
          </rPr>
          <t xml:space="preserve">
</t>
        </r>
        <r>
          <rPr>
            <sz val="14"/>
            <color rgb="FF000000"/>
            <rFont val="Times New Roman"/>
            <family val="18"/>
          </rPr>
          <t>ML 9705 InvH Prag (1807) – ST Sept (Prague 26/10/1808)</t>
        </r>
        <r>
          <rPr>
            <sz val="14"/>
            <color rgb="FF000000"/>
            <rFont val="Calibri"/>
            <family val="34"/>
          </rPr>
          <t xml:space="preserve">
</t>
        </r>
        <r>
          <rPr>
            <sz val="14"/>
            <color rgb="FF000000"/>
            <rFont val="Times New Roman"/>
            <family val="18"/>
          </rPr>
          <t>ML 10.818 Legion EH Carl 4. Bat. (1809-10) – AL. Nr. 43 (Leitmeritz, 24/03/1809); ST March 1809 (Prague 23/03/1810); April (Prague 19/05/1810)</t>
        </r>
      </text>
    </comment>
    <comment ref="BH16" authorId="0" shapeId="0" xr:uid="{D1576825-36AA-1E44-A14D-759809F7E62E}">
      <text>
        <r>
          <rPr>
            <sz val="14"/>
            <color rgb="FF000000"/>
            <rFont val="Calibri"/>
            <family val="34"/>
          </rPr>
          <t xml:space="preserve">IR 17 (1805-1807)
</t>
        </r>
        <r>
          <rPr>
            <sz val="14"/>
            <color rgb="FF000000"/>
            <rFont val="Calibri"/>
            <family val="34"/>
          </rPr>
          <t xml:space="preserve">InvH Prag (1807)
</t>
        </r>
        <r>
          <rPr>
            <sz val="14"/>
            <color rgb="FF000000"/>
            <rFont val="Calibri"/>
            <family val="34"/>
          </rPr>
          <t>Legion EH Carl (1809)</t>
        </r>
      </text>
    </comment>
    <comment ref="BJ16" authorId="0" shapeId="0" xr:uid="{DFC81F35-3410-394A-BAFC-BD4496250B97}">
      <text>
        <r>
          <rPr>
            <i/>
            <sz val="14"/>
            <color rgb="FF000000"/>
            <rFont val="Times New Roman"/>
            <family val="18"/>
          </rPr>
          <t>Mit wirklich verböten Blutspucken und seht kurzen atmen von einem Stoße auf dem Brust durch einem Gewehr Kolbe beim Ulm, Sehr schwäche Gehör, und periodischen Ohrenausfluss</t>
        </r>
        <r>
          <rPr>
            <sz val="14"/>
            <color rgb="FF000000"/>
            <rFont val="Times New Roman"/>
            <family val="18"/>
          </rPr>
          <t xml:space="preserve"> [TL Sept 1807]</t>
        </r>
        <r>
          <rPr>
            <sz val="14"/>
            <color rgb="FF000000"/>
            <rFont val="Calibri"/>
            <family val="2"/>
          </rPr>
          <t xml:space="preserve"> </t>
        </r>
      </text>
    </comment>
    <comment ref="BF17" authorId="0" shapeId="0" xr:uid="{2F96DB05-99BA-1347-9ABA-63AB13A7D904}">
      <text>
        <r>
          <rPr>
            <sz val="14"/>
            <color rgb="FF000000"/>
            <rFont val="Times New Roman"/>
            <family val="18"/>
          </rPr>
          <t xml:space="preserve">26/03/1809 </t>
        </r>
        <r>
          <rPr>
            <i/>
            <sz val="14"/>
            <color rgb="FF000000"/>
            <rFont val="Times New Roman"/>
            <family val="18"/>
          </rPr>
          <t xml:space="preserve">Von 2. Saatzer Landwehr Bataillon Freywillig übertreten und zum EH Carl Legion 4. Bataillon gegen drey Gulden Handgeld auf die Dauer des Krieges in Leitmeritz assentiert und zum 1. Kompanie eingeteilt </t>
        </r>
        <r>
          <rPr>
            <sz val="14"/>
            <color rgb="FF000000"/>
            <rFont val="Times New Roman"/>
            <family val="18"/>
          </rPr>
          <t>[AL 1809]</t>
        </r>
        <r>
          <rPr>
            <sz val="14"/>
            <color rgb="FF000000"/>
            <rFont val="Calibri"/>
            <family val="34"/>
          </rPr>
          <t xml:space="preserve">
</t>
        </r>
        <r>
          <rPr>
            <sz val="14"/>
            <color rgb="FF000000"/>
            <rFont val="Times New Roman"/>
            <family val="18"/>
          </rPr>
          <t xml:space="preserve">23/08/1809 </t>
        </r>
        <r>
          <rPr>
            <i/>
            <sz val="14"/>
            <color rgb="FF000000"/>
            <rFont val="Times New Roman"/>
            <family val="18"/>
          </rPr>
          <t>Krank in Armee Spitälern</t>
        </r>
        <r>
          <rPr>
            <sz val="14"/>
            <color rgb="FF000000"/>
            <rFont val="Times New Roman"/>
            <family val="18"/>
          </rPr>
          <t xml:space="preserve"> [ST Aug 1809]</t>
        </r>
        <r>
          <rPr>
            <sz val="14"/>
            <color rgb="FF000000"/>
            <rFont val="Calibri"/>
            <family val="34"/>
          </rPr>
          <t xml:space="preserve">
</t>
        </r>
        <r>
          <rPr>
            <sz val="14"/>
            <color rgb="FF000000"/>
            <rFont val="Times New Roman"/>
            <family val="18"/>
          </rPr>
          <t xml:space="preserve">25/01/1810 </t>
        </r>
        <r>
          <rPr>
            <i/>
            <sz val="14"/>
            <color rgb="FF000000"/>
            <rFont val="Times New Roman"/>
            <family val="18"/>
          </rPr>
          <t>Rekonvalesziert</t>
        </r>
        <r>
          <rPr>
            <sz val="14"/>
            <color rgb="FF000000"/>
            <rFont val="Times New Roman"/>
            <family val="18"/>
          </rPr>
          <t xml:space="preserve"> [ST Jan 1810]</t>
        </r>
        <r>
          <rPr>
            <sz val="14"/>
            <color rgb="FF000000"/>
            <rFont val="Calibri"/>
            <family val="34"/>
          </rPr>
          <t xml:space="preserve">
</t>
        </r>
        <r>
          <rPr>
            <sz val="14"/>
            <color rgb="FF000000"/>
            <rFont val="Times New Roman"/>
            <family val="18"/>
          </rPr>
          <t xml:space="preserve">31/01/1810 </t>
        </r>
        <r>
          <rPr>
            <i/>
            <sz val="14"/>
            <color rgb="FF000000"/>
            <rFont val="Times New Roman"/>
            <family val="18"/>
          </rPr>
          <t>Zu Folge hoher General Militair Commando Verordnung Ddt. Prag am 29. December 809 als ein auf die Dauer des Krieges engagierte Capitulant gegen Empfang von 30 tage Gratis Löhnung mit Abschied entlassen</t>
        </r>
        <r>
          <rPr>
            <sz val="14"/>
            <color rgb="FF000000"/>
            <rFont val="Times New Roman"/>
            <family val="18"/>
          </rPr>
          <t xml:space="preserve"> [ST Jan 1810] </t>
        </r>
      </text>
    </comment>
    <comment ref="BG17" authorId="0" shapeId="0" xr:uid="{AE1EDCF7-9238-8D44-9333-5F6775EEC53E}">
      <text>
        <r>
          <rPr>
            <sz val="14"/>
            <color rgb="FF000000"/>
            <rFont val="Times New Roman"/>
            <family val="18"/>
          </rPr>
          <t>ML 10.818 Legion EH Carl 4. Bat. (1809-10) – AL. Nr. 422 (Leitmeritz, 26/03/1809); ST March 1809 (Prague 23/03/1810), August (Prague 20/08/1810) Jan 1810 (05/11/1810)</t>
        </r>
        <r>
          <rPr>
            <sz val="14"/>
            <color rgb="FF000000"/>
            <rFont val="Calibri"/>
            <family val="34"/>
          </rPr>
          <t xml:space="preserve">
</t>
        </r>
      </text>
    </comment>
    <comment ref="BH17" authorId="0" shapeId="0" xr:uid="{EE5AC5A1-AE5F-AB4A-82EF-06FCA9673F7E}">
      <text>
        <r>
          <rPr>
            <sz val="14"/>
            <color rgb="FF000000"/>
            <rFont val="Calibri"/>
            <family val="34"/>
          </rPr>
          <t xml:space="preserve">Saaz LWB 2 (1808-1809)
</t>
        </r>
        <r>
          <rPr>
            <sz val="14"/>
            <color rgb="FF000000"/>
            <rFont val="Calibri"/>
            <family val="34"/>
          </rPr>
          <t>Legion EH Carl (1809-1810)</t>
        </r>
      </text>
    </comment>
    <comment ref="BF19" authorId="0" shapeId="0" xr:uid="{71A2167E-8D88-E547-9C1A-A822706BC65D}">
      <text>
        <r>
          <rPr>
            <sz val="14"/>
            <color rgb="FF000000"/>
            <rFont val="Times New Roman"/>
            <family val="18"/>
          </rPr>
          <t xml:space="preserve">07/03/1809 </t>
        </r>
        <r>
          <rPr>
            <i/>
            <sz val="14"/>
            <color rgb="FF000000"/>
            <rFont val="Times New Roman"/>
            <family val="18"/>
          </rPr>
          <t>Gegen 15Gl Handgeld als eximierte Inländer zum EH Carl Legion 5. Bat. Freiwillig assentiert und zum 2. Komp. eingeteilt</t>
        </r>
        <r>
          <rPr>
            <sz val="14"/>
            <color rgb="FF000000"/>
            <rFont val="Times New Roman"/>
            <family val="18"/>
          </rPr>
          <t xml:space="preserve"> [AL March 1809 &amp; ST March 1809]</t>
        </r>
        <r>
          <rPr>
            <sz val="14"/>
            <color rgb="FF000000"/>
            <rFont val="Calibri"/>
            <family val="34"/>
          </rPr>
          <t xml:space="preserve">
</t>
        </r>
        <r>
          <rPr>
            <sz val="14"/>
            <color rgb="FF000000"/>
            <rFont val="Times New Roman"/>
            <family val="18"/>
          </rPr>
          <t xml:space="preserve">01/11/1809 </t>
        </r>
        <r>
          <rPr>
            <i/>
            <sz val="14"/>
            <color rgb="FF000000"/>
            <rFont val="Times New Roman"/>
            <family val="18"/>
          </rPr>
          <t>Von Gemeiner zum Zimmermann mutiert</t>
        </r>
        <r>
          <rPr>
            <sz val="14"/>
            <color rgb="FF000000"/>
            <rFont val="Times New Roman"/>
            <family val="18"/>
          </rPr>
          <t xml:space="preserve"> [ST Nov 1809]</t>
        </r>
        <r>
          <rPr>
            <sz val="14"/>
            <color rgb="FF000000"/>
            <rFont val="Calibri"/>
            <family val="34"/>
          </rPr>
          <t xml:space="preserve">
</t>
        </r>
        <r>
          <rPr>
            <sz val="14"/>
            <color rgb="FF000000"/>
            <rFont val="Times New Roman"/>
            <family val="18"/>
          </rPr>
          <t xml:space="preserve">15/11/1809 </t>
        </r>
        <r>
          <rPr>
            <i/>
            <sz val="14"/>
            <color rgb="FF000000"/>
            <rFont val="Times New Roman"/>
            <family val="18"/>
          </rPr>
          <t>Krank in Armee Spitalern mit Auswärtiger Verpflegung</t>
        </r>
        <r>
          <rPr>
            <sz val="14"/>
            <color rgb="FF000000"/>
            <rFont val="Times New Roman"/>
            <family val="18"/>
          </rPr>
          <t xml:space="preserve"> [ST Nov 1809]</t>
        </r>
        <r>
          <rPr>
            <sz val="14"/>
            <color rgb="FF000000"/>
            <rFont val="Calibri"/>
            <family val="34"/>
          </rPr>
          <t xml:space="preserve">
</t>
        </r>
        <r>
          <rPr>
            <sz val="14"/>
            <color rgb="FF000000"/>
            <rFont val="Times New Roman"/>
            <family val="18"/>
          </rPr>
          <t xml:space="preserve">20/11/1809 </t>
        </r>
        <r>
          <rPr>
            <i/>
            <sz val="14"/>
            <color rgb="FF000000"/>
            <rFont val="Times New Roman"/>
            <family val="18"/>
          </rPr>
          <t>Rekonvalesziert</t>
        </r>
        <r>
          <rPr>
            <sz val="14"/>
            <color rgb="FF000000"/>
            <rFont val="Times New Roman"/>
            <family val="18"/>
          </rPr>
          <t xml:space="preserve"> [ST Nov 1809]</t>
        </r>
        <r>
          <rPr>
            <sz val="14"/>
            <color rgb="FF000000"/>
            <rFont val="Calibri"/>
            <family val="34"/>
          </rPr>
          <t xml:space="preserve">
</t>
        </r>
        <r>
          <rPr>
            <sz val="14"/>
            <color rgb="FF000000"/>
            <rFont val="Times New Roman"/>
            <family val="18"/>
          </rPr>
          <t xml:space="preserve">31/01/1809 </t>
        </r>
        <r>
          <rPr>
            <i/>
            <sz val="14"/>
            <color rgb="FF000000"/>
            <rFont val="Times New Roman"/>
            <family val="18"/>
          </rPr>
          <t>Aus zur Folge hoher General Militar Commando Verordnung det Prag am 29 Dezember 809 nach Auflösung dieses Bataillons als auf Kriegsdauer freiwillig angeworbene mit Abschied entlassen</t>
        </r>
        <r>
          <rPr>
            <sz val="14"/>
            <color rgb="FF000000"/>
            <rFont val="Times New Roman"/>
            <family val="18"/>
          </rPr>
          <t xml:space="preserve"> [ST Jan 1810] </t>
        </r>
      </text>
    </comment>
    <comment ref="BG19" authorId="0" shapeId="0" xr:uid="{11879FEA-E436-7140-A4F0-C6051896759F}">
      <text>
        <r>
          <rPr>
            <sz val="14"/>
            <color rgb="FF000000"/>
            <rFont val="Times New Roman"/>
            <family val="18"/>
          </rPr>
          <t>ML 10.818 EH Carl 5. Bat. – AL Nr. 4 (Piseck 26/03/1809), ST March (Prague 25/11/1809), ST Nov (Prague 08/09/1810). ST Jan 1810 (Prague 09/09/1810)</t>
        </r>
        <r>
          <rPr>
            <sz val="14"/>
            <color rgb="FF000000"/>
            <rFont val="Calibri"/>
            <family val="34"/>
          </rPr>
          <t xml:space="preserve">
</t>
        </r>
      </text>
    </comment>
    <comment ref="BH19" authorId="0" shapeId="0" xr:uid="{F23F318C-4282-2B4A-A4C4-F3CD8E6057F4}">
      <text>
        <r>
          <rPr>
            <sz val="14"/>
            <color rgb="FF000000"/>
            <rFont val="Calibri"/>
            <family val="34"/>
          </rPr>
          <t>Legion EH Carl (1809-1810)</t>
        </r>
      </text>
    </comment>
    <comment ref="BF21" authorId="0" shapeId="0" xr:uid="{821AAAD1-C46A-FD40-9499-FC8B77261F58}">
      <text>
        <r>
          <rPr>
            <sz val="14"/>
            <color rgb="FF000000"/>
            <rFont val="Times New Roman"/>
            <family val="18"/>
          </rPr>
          <t xml:space="preserve">16/03/1809 </t>
        </r>
        <r>
          <rPr>
            <i/>
            <sz val="14"/>
            <color rgb="FF000000"/>
            <rFont val="Times New Roman"/>
            <family val="18"/>
          </rPr>
          <t>Gegen 3Fl Handgeld von 3. Czaslauer Landwehr Bataillon für EH Carl Legion 6. Bataillon sich zur Assentierung Freiwillig a 3Fl gemeldet und zum 2. Kompanie eingeteilt</t>
        </r>
        <r>
          <rPr>
            <sz val="14"/>
            <color rgb="FF000000"/>
            <rFont val="Times New Roman"/>
            <family val="18"/>
          </rPr>
          <t xml:space="preserve"> [AL March 1809 &amp; ST March 1809]</t>
        </r>
        <r>
          <rPr>
            <sz val="14"/>
            <color rgb="FF000000"/>
            <rFont val="Calibri"/>
            <family val="34"/>
          </rPr>
          <t xml:space="preserve">
</t>
        </r>
        <r>
          <rPr>
            <sz val="14"/>
            <color rgb="FF000000"/>
            <rFont val="Times New Roman"/>
            <family val="18"/>
          </rPr>
          <t xml:space="preserve">01/09/1809 </t>
        </r>
        <r>
          <rPr>
            <i/>
            <sz val="14"/>
            <color rgb="FF000000"/>
            <rFont val="Times New Roman"/>
            <family val="18"/>
          </rPr>
          <t>Krank in Loco</t>
        </r>
        <r>
          <rPr>
            <sz val="14"/>
            <color rgb="FF000000"/>
            <rFont val="Times New Roman"/>
            <family val="18"/>
          </rPr>
          <t xml:space="preserve"> [ST Sept 1809]</t>
        </r>
        <r>
          <rPr>
            <sz val="14"/>
            <color rgb="FF000000"/>
            <rFont val="Calibri"/>
            <family val="34"/>
          </rPr>
          <t xml:space="preserve">
</t>
        </r>
        <r>
          <rPr>
            <sz val="14"/>
            <color rgb="FF000000"/>
            <rFont val="Times New Roman"/>
            <family val="18"/>
          </rPr>
          <t xml:space="preserve">26/10/1809 </t>
        </r>
        <r>
          <rPr>
            <i/>
            <sz val="14"/>
            <color rgb="FF000000"/>
            <rFont val="Times New Roman"/>
            <family val="18"/>
          </rPr>
          <t xml:space="preserve">Ins Armee Spital mit auswärtiger Verpflegung transferiert </t>
        </r>
        <r>
          <rPr>
            <sz val="14"/>
            <color rgb="FF000000"/>
            <rFont val="Times New Roman"/>
            <family val="18"/>
          </rPr>
          <t>[ST Oct 1809]</t>
        </r>
        <r>
          <rPr>
            <sz val="14"/>
            <color rgb="FF000000"/>
            <rFont val="Calibri"/>
            <family val="34"/>
          </rPr>
          <t xml:space="preserve">
</t>
        </r>
        <r>
          <rPr>
            <sz val="14"/>
            <color rgb="FF000000"/>
            <rFont val="Times New Roman"/>
            <family val="18"/>
          </rPr>
          <t xml:space="preserve">31/08/1810 </t>
        </r>
        <r>
          <rPr>
            <i/>
            <sz val="14"/>
            <color rgb="FF000000"/>
            <rFont val="Times New Roman"/>
            <family val="18"/>
          </rPr>
          <t>Zu Folge bestehende Hoher Befehl als ein in der Armee Spitalern Unwissend verloren</t>
        </r>
        <r>
          <rPr>
            <sz val="14"/>
            <color rgb="FF000000"/>
            <rFont val="Times New Roman"/>
            <family val="18"/>
          </rPr>
          <t xml:space="preserve"> [ST Aug 1810] [ST Jan 1810]</t>
        </r>
      </text>
    </comment>
    <comment ref="BG21" authorId="0" shapeId="0" xr:uid="{02AD456B-625F-0443-BB32-5C73C4635687}">
      <text>
        <r>
          <rPr>
            <sz val="14"/>
            <color rgb="FF000000"/>
            <rFont val="Times New Roman"/>
            <family val="18"/>
          </rPr>
          <t>ML 10.816 EH Carl FK 3. Bat. (1809-10) – AL Nr. 267 (Chrudim 31/03/1809), ST March (Prague 10/07/1809), July (Prague 28/04/1809), Aug (Prague 28/05/1810), Jan 1810 (Prague 23/08/1810)</t>
        </r>
        <r>
          <rPr>
            <sz val="14"/>
            <color rgb="FF000000"/>
            <rFont val="Calibri"/>
            <family val="34"/>
          </rPr>
          <t xml:space="preserve">
</t>
        </r>
      </text>
    </comment>
    <comment ref="BH21" authorId="0" shapeId="0" xr:uid="{E706906A-C01B-8242-B645-6C06EF190C59}">
      <text>
        <r>
          <rPr>
            <sz val="14"/>
            <color rgb="FF000000"/>
            <rFont val="Calibri"/>
            <family val="34"/>
          </rPr>
          <t xml:space="preserve">Czaslau LWB 3 (1808-1809)
</t>
        </r>
        <r>
          <rPr>
            <sz val="14"/>
            <color rgb="FF000000"/>
            <rFont val="Calibri"/>
            <family val="34"/>
          </rPr>
          <t>Legion EH Carl (1809-1810)</t>
        </r>
      </text>
    </comment>
    <comment ref="BF22" authorId="0" shapeId="0" xr:uid="{B485C81F-6B39-9345-A53B-40FB0D95A3C3}">
      <text>
        <r>
          <rPr>
            <sz val="14"/>
            <color rgb="FF000000"/>
            <rFont val="Times New Roman"/>
            <family val="18"/>
          </rPr>
          <t xml:space="preserve">16/03/1809 </t>
        </r>
        <r>
          <rPr>
            <i/>
            <sz val="14"/>
            <color rgb="FF000000"/>
            <rFont val="Times New Roman"/>
            <family val="18"/>
          </rPr>
          <t>Gegen 3Fl Handgeld von 3. Czaslauer Landwehr Bataillon für EH Carl Legion 6. Bataillon sich zur Assentierung Freiwillig a 3Fl gemeldet und zum 2. Kompanie eingeteilt</t>
        </r>
        <r>
          <rPr>
            <sz val="14"/>
            <color rgb="FF000000"/>
            <rFont val="Times New Roman"/>
            <family val="18"/>
          </rPr>
          <t xml:space="preserve"> [AL March 1809 &amp; ST March 1809]</t>
        </r>
        <r>
          <rPr>
            <sz val="14"/>
            <color rgb="FF000000"/>
            <rFont val="Calibri"/>
            <family val="34"/>
          </rPr>
          <t xml:space="preserve">
</t>
        </r>
        <r>
          <rPr>
            <sz val="14"/>
            <color rgb="FF000000"/>
            <rFont val="Times New Roman"/>
            <family val="18"/>
          </rPr>
          <t xml:space="preserve">04/05/1809 </t>
        </r>
        <r>
          <rPr>
            <i/>
            <sz val="14"/>
            <color rgb="FF000000"/>
            <rFont val="Times New Roman"/>
            <family val="18"/>
          </rPr>
          <t xml:space="preserve">Auf der </t>
        </r>
        <r>
          <rPr>
            <b/>
            <i/>
            <sz val="14"/>
            <color rgb="FF000000"/>
            <rFont val="Times New Roman"/>
            <family val="18"/>
          </rPr>
          <t xml:space="preserve">Rückzug von Ebersberg </t>
        </r>
        <r>
          <rPr>
            <i/>
            <sz val="14"/>
            <color rgb="FF000000"/>
            <rFont val="Times New Roman"/>
            <family val="18"/>
          </rPr>
          <t>in die Kriegsgefangenschaft geraten</t>
        </r>
        <r>
          <rPr>
            <sz val="14"/>
            <color rgb="FF000000"/>
            <rFont val="Times New Roman"/>
            <family val="18"/>
          </rPr>
          <t xml:space="preserve"> [ST May 1809]</t>
        </r>
      </text>
    </comment>
    <comment ref="BG22" authorId="0" shapeId="0" xr:uid="{186DA9C7-A821-3749-958C-1355A1888361}">
      <text>
        <r>
          <rPr>
            <sz val="14"/>
            <color rgb="FF000000"/>
            <rFont val="Times New Roman"/>
            <family val="18"/>
          </rPr>
          <t>ML 10.819 Legion EH Carl 6. Bat – AL Nr. 24 (Kuttenberg 13/03/1809), ST March (Prague 06/09/1809), ST May (Prague 11/05/1810)</t>
        </r>
        <r>
          <rPr>
            <sz val="14"/>
            <color rgb="FF000000"/>
            <rFont val="Calibri"/>
            <family val="34"/>
          </rPr>
          <t xml:space="preserve">
</t>
        </r>
      </text>
    </comment>
    <comment ref="BH22" authorId="0" shapeId="0" xr:uid="{2708C7C6-BA2B-B34A-AFC1-3BEAE3BD114B}">
      <text>
        <r>
          <rPr>
            <sz val="14"/>
            <color rgb="FF000000"/>
            <rFont val="Calibri"/>
            <family val="34"/>
          </rPr>
          <t xml:space="preserve">Czaslau LWB 3 (1808-1809)
</t>
        </r>
        <r>
          <rPr>
            <sz val="14"/>
            <color rgb="FF000000"/>
            <rFont val="Calibri"/>
            <family val="34"/>
          </rPr>
          <t>Legion EH Carl (1809)</t>
        </r>
      </text>
    </comment>
    <comment ref="BF23" authorId="0" shapeId="0" xr:uid="{1F700197-DDC4-1E4C-936A-0B565B126857}">
      <text>
        <r>
          <rPr>
            <sz val="14"/>
            <color rgb="FF000000"/>
            <rFont val="Times New Roman"/>
            <family val="18"/>
          </rPr>
          <t xml:space="preserve">17/04/1809 </t>
        </r>
        <r>
          <rPr>
            <i/>
            <sz val="14"/>
            <color rgb="FF000000"/>
            <rFont val="Times New Roman"/>
            <family val="18"/>
          </rPr>
          <t>Gegen 3Fl Handgeld für EH Carl Legion 6. Bataillon als Inländer Rekrut freiwillig assentiert und zum 4. Kompanie eingeteilt</t>
        </r>
        <r>
          <rPr>
            <sz val="14"/>
            <color rgb="FF000000"/>
            <rFont val="Times New Roman"/>
            <family val="18"/>
          </rPr>
          <t xml:space="preserve"> [AL April 1809]</t>
        </r>
        <r>
          <rPr>
            <sz val="14"/>
            <color rgb="FF000000"/>
            <rFont val="Calibri"/>
            <family val="34"/>
          </rPr>
          <t xml:space="preserve">
</t>
        </r>
        <r>
          <rPr>
            <sz val="14"/>
            <color rgb="FF000000"/>
            <rFont val="Times New Roman"/>
            <family val="18"/>
          </rPr>
          <t xml:space="preserve">06/06/1809 </t>
        </r>
        <r>
          <rPr>
            <i/>
            <sz val="14"/>
            <color rgb="FF000000"/>
            <rFont val="Times New Roman"/>
            <family val="18"/>
          </rPr>
          <t>Von 4. Zum 5. Kompanie transferiert</t>
        </r>
        <r>
          <rPr>
            <sz val="14"/>
            <color rgb="FF000000"/>
            <rFont val="Times New Roman"/>
            <family val="18"/>
          </rPr>
          <t xml:space="preserve"> [ST June 1809]</t>
        </r>
        <r>
          <rPr>
            <sz val="14"/>
            <color rgb="FF000000"/>
            <rFont val="Calibri"/>
            <family val="34"/>
          </rPr>
          <t xml:space="preserve">
</t>
        </r>
        <r>
          <rPr>
            <sz val="14"/>
            <color rgb="FF000000"/>
            <rFont val="Times New Roman"/>
            <family val="18"/>
          </rPr>
          <t xml:space="preserve">19/12/1809 </t>
        </r>
        <r>
          <rPr>
            <i/>
            <sz val="14"/>
            <color rgb="FF000000"/>
            <rFont val="Times New Roman"/>
            <family val="18"/>
          </rPr>
          <t xml:space="preserve">Auf dem Marsch von Hustanowitz nach Kremsier unwissend verloren </t>
        </r>
        <r>
          <rPr>
            <sz val="14"/>
            <color rgb="FF000000"/>
            <rFont val="Times New Roman"/>
            <family val="18"/>
          </rPr>
          <t>[ST Dec 1809]</t>
        </r>
      </text>
    </comment>
    <comment ref="BG23" authorId="0" shapeId="0" xr:uid="{F664F87A-BD95-EA45-ADD0-DB61EF23D98D}">
      <text>
        <r>
          <rPr>
            <sz val="14"/>
            <color rgb="FF000000"/>
            <rFont val="Times New Roman"/>
            <family val="18"/>
          </rPr>
          <t>ML 10.819 Legion EH Carl 6. Bat – AL Nr. 6 (Kuttenberg 18/04/1809), ST April (Prague 11/05/1810), ST June (Prague 31/05/1810), ST Dec (31/08/1810)</t>
        </r>
        <r>
          <rPr>
            <sz val="14"/>
            <color rgb="FF000000"/>
            <rFont val="Calibri"/>
            <family val="34"/>
          </rPr>
          <t xml:space="preserve">
</t>
        </r>
      </text>
    </comment>
    <comment ref="BH23" authorId="0" shapeId="0" xr:uid="{0088F6DD-A05F-CD40-B3D4-8BB9C6960AB4}">
      <text>
        <r>
          <rPr>
            <sz val="14"/>
            <color rgb="FF000000"/>
            <rFont val="Calibri"/>
            <family val="34"/>
          </rPr>
          <t>Legion EH Carl (1809)</t>
        </r>
      </text>
    </comment>
    <comment ref="BF25" authorId="0" shapeId="0" xr:uid="{673D134E-DEB8-CC41-BE83-5B4426846B2D}">
      <text>
        <r>
          <rPr>
            <sz val="14"/>
            <color rgb="FF000000"/>
            <rFont val="Times New Roman"/>
            <family val="18"/>
          </rPr>
          <t xml:space="preserve">01/03/1809 </t>
        </r>
        <r>
          <rPr>
            <i/>
            <sz val="14"/>
            <color rgb="FF000000"/>
            <rFont val="Times New Roman"/>
            <family val="18"/>
          </rPr>
          <t>Auf 15 Gulden Werbgeld (davon 10Fl Handgeld und 5 Gulden anbringsgeld und Umkosten) zum 1. Bataillon von Mährisch-schlesischen Freiwillige angeworben und zum 4. Kompanie eingeteilt</t>
        </r>
        <r>
          <rPr>
            <sz val="14"/>
            <color rgb="FF000000"/>
            <rFont val="Times New Roman"/>
            <family val="18"/>
          </rPr>
          <t xml:space="preserve"> [AL March 1809]</t>
        </r>
        <r>
          <rPr>
            <sz val="14"/>
            <color rgb="FF000000"/>
            <rFont val="Calibri"/>
            <family val="34"/>
          </rPr>
          <t xml:space="preserve">
</t>
        </r>
        <r>
          <rPr>
            <sz val="14"/>
            <color rgb="FF000000"/>
            <rFont val="Times New Roman"/>
            <family val="18"/>
          </rPr>
          <t xml:space="preserve">6-8/05/1809 </t>
        </r>
        <r>
          <rPr>
            <i/>
            <sz val="14"/>
            <color rgb="FF000000"/>
            <rFont val="Times New Roman"/>
            <family val="18"/>
          </rPr>
          <t>Unwissend verloren</t>
        </r>
        <r>
          <rPr>
            <sz val="14"/>
            <color rgb="FF000000"/>
            <rFont val="Times New Roman"/>
            <family val="18"/>
          </rPr>
          <t xml:space="preserve"> [ST May 1809]</t>
        </r>
      </text>
    </comment>
    <comment ref="BG25" authorId="0" shapeId="0" xr:uid="{6A0BC108-6F2D-9F44-A71C-290BD90B5200}">
      <text>
        <r>
          <rPr>
            <sz val="14"/>
            <color rgb="FF000000"/>
            <rFont val="Times New Roman"/>
            <family val="18"/>
          </rPr>
          <t>ST 10.821 Mähr-Schls. FW 1-2. Bats (1809-10) – AL Nr. 39 (Brunn 08/03/1809), ST March (31/03/1810), ST May (31/10/1810)</t>
        </r>
      </text>
    </comment>
    <comment ref="BH25" authorId="0" shapeId="0" xr:uid="{1CDBE7AF-4A47-EC40-B531-416E70F8F17C}">
      <text>
        <r>
          <rPr>
            <sz val="14"/>
            <color rgb="FF000000"/>
            <rFont val="Calibri"/>
            <family val="34"/>
          </rPr>
          <t>Mährisch-schlesischen Freiwillige (1809)</t>
        </r>
      </text>
    </comment>
    <comment ref="BF26" authorId="0" shapeId="0" xr:uid="{0BE783A1-EE4E-8841-A95A-BB4C8165AFA9}">
      <text>
        <r>
          <rPr>
            <sz val="14"/>
            <color rgb="FF000000"/>
            <rFont val="Times New Roman"/>
            <family val="18"/>
          </rPr>
          <t xml:space="preserve">26/03/1809 </t>
        </r>
        <r>
          <rPr>
            <i/>
            <sz val="14"/>
            <color rgb="FF000000"/>
            <rFont val="Times New Roman"/>
            <family val="18"/>
          </rPr>
          <t>Auf 15 Gulden Werbgeld zum 1. Bataillon von Mährisch-schlesischen Freiwillige freywillig angeworben und zum 6. Kompanie eingeteilt</t>
        </r>
        <r>
          <rPr>
            <sz val="14"/>
            <color rgb="FF000000"/>
            <rFont val="Times New Roman"/>
            <family val="18"/>
          </rPr>
          <t xml:space="preserve"> [AL March 1809]</t>
        </r>
        <r>
          <rPr>
            <sz val="14"/>
            <color rgb="FF000000"/>
            <rFont val="Calibri"/>
            <family val="34"/>
          </rPr>
          <t xml:space="preserve">
</t>
        </r>
        <r>
          <rPr>
            <sz val="14"/>
            <color rgb="FF000000"/>
            <rFont val="Times New Roman"/>
            <family val="18"/>
          </rPr>
          <t xml:space="preserve">02/06/1809 </t>
        </r>
        <r>
          <rPr>
            <i/>
            <sz val="14"/>
            <color rgb="FF000000"/>
            <rFont val="Times New Roman"/>
            <family val="18"/>
          </rPr>
          <t>Mit auswärtiger Verpflegung Krank in Armee Spital</t>
        </r>
        <r>
          <rPr>
            <sz val="14"/>
            <color rgb="FF000000"/>
            <rFont val="Times New Roman"/>
            <family val="18"/>
          </rPr>
          <t xml:space="preserve"> [ST June 1809]</t>
        </r>
        <r>
          <rPr>
            <sz val="14"/>
            <color rgb="FF000000"/>
            <rFont val="Calibri"/>
            <family val="34"/>
          </rPr>
          <t xml:space="preserve">
</t>
        </r>
        <r>
          <rPr>
            <sz val="14"/>
            <color rgb="FF000000"/>
            <rFont val="Times New Roman"/>
            <family val="18"/>
          </rPr>
          <t>29/01/1810 Dissolvierung: 1. Bat 6. Komp Nr. 85 [</t>
        </r>
        <r>
          <rPr>
            <i/>
            <sz val="14"/>
            <color rgb="FF000000"/>
            <rFont val="Times New Roman"/>
            <family val="18"/>
          </rPr>
          <t>Krank in Krems</t>
        </r>
        <r>
          <rPr>
            <sz val="14"/>
            <color rgb="FF000000"/>
            <rFont val="Times New Roman"/>
            <family val="18"/>
          </rPr>
          <t>]</t>
        </r>
        <r>
          <rPr>
            <sz val="14"/>
            <color rgb="FF000000"/>
            <rFont val="Calibri"/>
            <family val="34"/>
          </rPr>
          <t xml:space="preserve">
</t>
        </r>
        <r>
          <rPr>
            <sz val="14"/>
            <color rgb="FF000000"/>
            <rFont val="Times New Roman"/>
            <family val="18"/>
          </rPr>
          <t>16/03/1810</t>
        </r>
        <r>
          <rPr>
            <i/>
            <sz val="14"/>
            <color rgb="FF000000"/>
            <rFont val="Times New Roman"/>
            <family val="18"/>
          </rPr>
          <t xml:space="preserve"> In loco eingerückt und vermog bestehende Hohe Vorordnung als ausgediente Kriegscapitulant mit Abschied entlassen </t>
        </r>
        <r>
          <rPr>
            <sz val="14"/>
            <color rgb="FF000000"/>
            <rFont val="Times New Roman"/>
            <family val="18"/>
          </rPr>
          <t>[ST March-Oct 1810]</t>
        </r>
      </text>
    </comment>
    <comment ref="BG26" authorId="0" shapeId="0" xr:uid="{A8092061-665F-924D-8DEF-B44624C05FE2}">
      <text>
        <r>
          <rPr>
            <sz val="14"/>
            <color rgb="FF000000"/>
            <rFont val="Times New Roman"/>
            <family val="18"/>
          </rPr>
          <t>ST 10.820 Mähr-Schls. FW 1-2. Bats (1809-10) – DL 1. Bat 6. Komp Nr. 85 (Rausnitz 29/01/1802)</t>
        </r>
        <r>
          <rPr>
            <sz val="14"/>
            <color rgb="FF000000"/>
            <rFont val="Calibri"/>
            <family val="34"/>
          </rPr>
          <t xml:space="preserve">
</t>
        </r>
        <r>
          <rPr>
            <sz val="14"/>
            <color rgb="FF000000"/>
            <rFont val="Times New Roman"/>
            <family val="18"/>
          </rPr>
          <t>ST 10.821 Mähr-Schls. FW 1-2. Bats (1809-10) – AL Nr. 3 (Iglau 26/03/1809), ST March (31/03/1810), ST June (30/07/1810)</t>
        </r>
        <r>
          <rPr>
            <sz val="14"/>
            <color rgb="FF000000"/>
            <rFont val="Calibri"/>
            <family val="34"/>
          </rPr>
          <t xml:space="preserve">
</t>
        </r>
        <r>
          <rPr>
            <sz val="14"/>
            <color rgb="FF000000"/>
            <rFont val="Times New Roman"/>
            <family val="18"/>
          </rPr>
          <t>ST 10.822 Mähr-Schls. FW 1-2. Bats (1810) – ST March-Oct (28/02/1811)</t>
        </r>
      </text>
    </comment>
    <comment ref="BH26" authorId="0" shapeId="0" xr:uid="{68B24FD8-C0FB-1040-ADB3-4A7CF9917530}">
      <text>
        <r>
          <rPr>
            <sz val="14"/>
            <color rgb="FF000000"/>
            <rFont val="Calibri"/>
            <family val="34"/>
          </rPr>
          <t>Mährisch-schlesischen Freiwillige (1809-1810)</t>
        </r>
      </text>
    </comment>
    <comment ref="BF27" authorId="0" shapeId="0" xr:uid="{C46FAA1A-950A-DB45-94C5-317F1FE22052}">
      <text>
        <r>
          <rPr>
            <sz val="14"/>
            <color rgb="FF000000"/>
            <rFont val="Times New Roman"/>
            <family val="18"/>
          </rPr>
          <t xml:space="preserve">26/03/1809 </t>
        </r>
        <r>
          <rPr>
            <i/>
            <sz val="14"/>
            <color rgb="FF000000"/>
            <rFont val="Times New Roman"/>
            <family val="18"/>
          </rPr>
          <t>Auf 15 Gulden Werbgeld zum 1. Bataillon von Mährisch-schlesischen Freiwillige freywillig angeworben und zum 6. Kompanie eingeteilt</t>
        </r>
        <r>
          <rPr>
            <sz val="14"/>
            <color rgb="FF000000"/>
            <rFont val="Times New Roman"/>
            <family val="18"/>
          </rPr>
          <t xml:space="preserve"> [AL March 1809 &amp; ST March 1809]</t>
        </r>
        <r>
          <rPr>
            <sz val="14"/>
            <color rgb="FF000000"/>
            <rFont val="Calibri"/>
            <family val="34"/>
          </rPr>
          <t xml:space="preserve">
</t>
        </r>
        <r>
          <rPr>
            <sz val="14"/>
            <color rgb="FF000000"/>
            <rFont val="Times New Roman"/>
            <family val="18"/>
          </rPr>
          <t xml:space="preserve">31/05/1809 </t>
        </r>
        <r>
          <rPr>
            <i/>
            <sz val="14"/>
            <color rgb="FF000000"/>
            <rFont val="Times New Roman"/>
            <family val="18"/>
          </rPr>
          <t>Beim Rückzug nach dem über die Donau unternommenen Expedition in Kriegsgefangenschaft gerathen</t>
        </r>
        <r>
          <rPr>
            <sz val="14"/>
            <color rgb="FF000000"/>
            <rFont val="Times New Roman"/>
            <family val="18"/>
          </rPr>
          <t xml:space="preserve"> [ST June 1809]</t>
        </r>
        <r>
          <rPr>
            <sz val="14"/>
            <color rgb="FF000000"/>
            <rFont val="Calibri"/>
            <family val="34"/>
          </rPr>
          <t xml:space="preserve">
</t>
        </r>
        <r>
          <rPr>
            <sz val="14"/>
            <color rgb="FF000000"/>
            <rFont val="Times New Roman"/>
            <family val="18"/>
          </rPr>
          <t xml:space="preserve">26/09/1809 </t>
        </r>
        <r>
          <rPr>
            <i/>
            <sz val="14"/>
            <color rgb="FF000000"/>
            <rFont val="Times New Roman"/>
            <family val="18"/>
          </rPr>
          <t xml:space="preserve">Am unbewussten Datum auswärts präsentiert und danach beim Depot eingerückt, seitdem dort zugeheilt </t>
        </r>
        <r>
          <rPr>
            <sz val="14"/>
            <color rgb="FF000000"/>
            <rFont val="Times New Roman"/>
            <family val="18"/>
          </rPr>
          <t>[ST Sept 1809]</t>
        </r>
        <r>
          <rPr>
            <sz val="14"/>
            <color rgb="FF000000"/>
            <rFont val="Calibri"/>
            <family val="34"/>
          </rPr>
          <t xml:space="preserve">
</t>
        </r>
        <r>
          <rPr>
            <sz val="14"/>
            <color rgb="FF000000"/>
            <rFont val="Times New Roman"/>
            <family val="18"/>
          </rPr>
          <t>29/01/1810 Dissolvierung: 1. Bat 6. Komp Nr. 67</t>
        </r>
        <r>
          <rPr>
            <sz val="14"/>
            <color rgb="FF000000"/>
            <rFont val="Calibri"/>
            <family val="34"/>
          </rPr>
          <t xml:space="preserve">
</t>
        </r>
        <r>
          <rPr>
            <sz val="14"/>
            <color rgb="FF000000"/>
            <rFont val="Times New Roman"/>
            <family val="18"/>
          </rPr>
          <t xml:space="preserve">17/02/1810 </t>
        </r>
        <r>
          <rPr>
            <i/>
            <sz val="14"/>
            <color rgb="FF000000"/>
            <rFont val="Times New Roman"/>
            <family val="18"/>
          </rPr>
          <t>Als ausgedienter Kriegscapitulant mit Abschied entlassen</t>
        </r>
        <r>
          <rPr>
            <sz val="14"/>
            <color rgb="FF000000"/>
            <rFont val="Times New Roman"/>
            <family val="18"/>
          </rPr>
          <t xml:space="preserve"> [ST Feb 1810]</t>
        </r>
      </text>
    </comment>
    <comment ref="BG27" authorId="0" shapeId="0" xr:uid="{EE4E5708-FA13-7947-B1E1-11EAEAA71818}">
      <text>
        <r>
          <rPr>
            <sz val="14"/>
            <color rgb="FF000000"/>
            <rFont val="Times New Roman"/>
            <family val="18"/>
          </rPr>
          <t>ST 10.820 Mähr-Schls. FW 1-2. Bats (1809-10) – DL 1. Bat 6. Komp Nr. 67 (Rausnitz 29/01/1802)</t>
        </r>
        <r>
          <rPr>
            <sz val="14"/>
            <color rgb="FF000000"/>
            <rFont val="Calibri"/>
            <family val="34"/>
          </rPr>
          <t xml:space="preserve">
</t>
        </r>
        <r>
          <rPr>
            <sz val="14"/>
            <color rgb="FF000000"/>
            <rFont val="Times New Roman"/>
            <family val="18"/>
          </rPr>
          <t>ST 10.821 Mähr-Schls. FW 1-2. Bats (1809) – AL Nr. 4 (Iglau 26/03/1809), ST March (31/03/1810), ST June (30/07/1810), ST September (01/12/1810)</t>
        </r>
        <r>
          <rPr>
            <sz val="14"/>
            <color rgb="FF000000"/>
            <rFont val="Calibri"/>
            <family val="34"/>
          </rPr>
          <t xml:space="preserve">
</t>
        </r>
        <r>
          <rPr>
            <sz val="14"/>
            <color rgb="FF000000"/>
            <rFont val="Times New Roman"/>
            <family val="18"/>
          </rPr>
          <t>ST 10.822 Mähr-Schls. FW 1-2. Bats (1810) – ST Feb (01/02/1811)</t>
        </r>
      </text>
    </comment>
    <comment ref="BH27" authorId="0" shapeId="0" xr:uid="{D7354EAB-A83B-C446-B06F-897EDFFA746B}">
      <text>
        <r>
          <rPr>
            <sz val="14"/>
            <color rgb="FF000000"/>
            <rFont val="Calibri"/>
            <family val="34"/>
          </rPr>
          <t>Mährisch-schlesischen Freiwillige (1809-1810)</t>
        </r>
      </text>
    </comment>
    <comment ref="BF29" authorId="0" shapeId="0" xr:uid="{B7ABBA44-0297-DB44-9912-A0AF6757C8A2}">
      <text>
        <r>
          <rPr>
            <sz val="14"/>
            <color rgb="FF000000"/>
            <rFont val="Times New Roman"/>
            <family val="18"/>
          </rPr>
          <t xml:space="preserve">27/04/1809 </t>
        </r>
        <r>
          <rPr>
            <i/>
            <sz val="14"/>
            <color rgb="FF000000"/>
            <rFont val="Times New Roman"/>
            <family val="18"/>
          </rPr>
          <t>Auf 15 fl Handgeld zum s. Bataillon von Mährisch-schlesischen Freiwillige auf die Dauer des Krieges angeworben und zum 1. Kompanie ‚D‘Estang‘ eingeteilt</t>
        </r>
        <r>
          <rPr>
            <sz val="14"/>
            <color rgb="FF000000"/>
            <rFont val="Times New Roman"/>
            <family val="18"/>
          </rPr>
          <t xml:space="preserve"> [AL April 1809 &amp; ST April]</t>
        </r>
        <r>
          <rPr>
            <sz val="14"/>
            <color rgb="FF000000"/>
            <rFont val="Calibri"/>
            <family val="34"/>
          </rPr>
          <t xml:space="preserve">
</t>
        </r>
        <r>
          <rPr>
            <sz val="14"/>
            <color rgb="FF000000"/>
            <rFont val="Times New Roman"/>
            <family val="18"/>
          </rPr>
          <t xml:space="preserve">06/07/1809 </t>
        </r>
        <r>
          <rPr>
            <i/>
            <sz val="14"/>
            <color rgb="FF000000"/>
            <rFont val="Times New Roman"/>
            <family val="18"/>
          </rPr>
          <t>Als blessiert</t>
        </r>
        <r>
          <rPr>
            <sz val="14"/>
            <color rgb="FF000000"/>
            <rFont val="Times New Roman"/>
            <family val="18"/>
          </rPr>
          <t xml:space="preserve"> </t>
        </r>
        <r>
          <rPr>
            <b/>
            <sz val="14"/>
            <color rgb="FF000000"/>
            <rFont val="Times New Roman"/>
            <family val="18"/>
          </rPr>
          <t>[Bei Marktgrafneusiedl]</t>
        </r>
        <r>
          <rPr>
            <sz val="14"/>
            <color rgb="FF000000"/>
            <rFont val="Times New Roman"/>
            <family val="18"/>
          </rPr>
          <t xml:space="preserve"> </t>
        </r>
        <r>
          <rPr>
            <i/>
            <sz val="14"/>
            <color rgb="FF000000"/>
            <rFont val="Times New Roman"/>
            <family val="18"/>
          </rPr>
          <t>krank in Armee Spital</t>
        </r>
        <r>
          <rPr>
            <sz val="14"/>
            <color rgb="FF000000"/>
            <rFont val="Times New Roman"/>
            <family val="18"/>
          </rPr>
          <t xml:space="preserve"> [ST July 1809] </t>
        </r>
        <r>
          <rPr>
            <i/>
            <sz val="14"/>
            <color rgb="FF000000"/>
            <rFont val="Times New Roman"/>
            <family val="18"/>
          </rPr>
          <t>derselbe Tag in Kriegsgefangenschaft gerathen</t>
        </r>
        <r>
          <rPr>
            <sz val="14"/>
            <color rgb="FF000000"/>
            <rFont val="Times New Roman"/>
            <family val="18"/>
          </rPr>
          <t xml:space="preserve"> [ST March-Oct 1810]</t>
        </r>
        <r>
          <rPr>
            <sz val="14"/>
            <color rgb="FF000000"/>
            <rFont val="Calibri"/>
            <family val="34"/>
          </rPr>
          <t xml:space="preserve">
</t>
        </r>
        <r>
          <rPr>
            <sz val="14"/>
            <color rgb="FF000000"/>
            <rFont val="Times New Roman"/>
            <family val="18"/>
          </rPr>
          <t>30/01/1810 Dissolvierung: 1. Bat 6. Komp Nr. 146 [</t>
        </r>
        <r>
          <rPr>
            <i/>
            <sz val="14"/>
            <color rgb="FF000000"/>
            <rFont val="Times New Roman"/>
            <family val="18"/>
          </rPr>
          <t>In Armée Spitälern Krank und Blessiert</t>
        </r>
        <r>
          <rPr>
            <sz val="14"/>
            <color rgb="FF000000"/>
            <rFont val="Times New Roman"/>
            <family val="18"/>
          </rPr>
          <t>]</t>
        </r>
        <r>
          <rPr>
            <sz val="14"/>
            <color rgb="FF000000"/>
            <rFont val="Calibri"/>
            <family val="34"/>
          </rPr>
          <t xml:space="preserve">
</t>
        </r>
        <r>
          <rPr>
            <sz val="14"/>
            <color rgb="FF000000"/>
            <rFont val="Times New Roman"/>
            <family val="18"/>
          </rPr>
          <t xml:space="preserve">31/03/1810 </t>
        </r>
        <r>
          <rPr>
            <i/>
            <sz val="14"/>
            <color rgb="FF000000"/>
            <rFont val="Times New Roman"/>
            <family val="18"/>
          </rPr>
          <t>In loco Präsentiert als von Kriegsgefangenschaft Zurück und als ausgedienter Kriegscapitulant mit Abschied entlassen</t>
        </r>
        <r>
          <rPr>
            <sz val="14"/>
            <color rgb="FF000000"/>
            <rFont val="Times New Roman"/>
            <family val="18"/>
          </rPr>
          <t xml:space="preserve"> [ST March-Oct 1810] </t>
        </r>
      </text>
    </comment>
    <comment ref="BG29" authorId="0" shapeId="0" xr:uid="{334ECBDE-C8BA-E345-A187-DCFEBE803657}">
      <text>
        <r>
          <rPr>
            <sz val="14"/>
            <color rgb="FF000000"/>
            <rFont val="Times New Roman"/>
            <family val="18"/>
          </rPr>
          <t>ST 10.820 Mähr-Schls. FW 1-2. Bats (1809-10) – DL 2. Bat 1. Komp Nr. 146 (Austerlitz 30/01/1802)</t>
        </r>
        <r>
          <rPr>
            <sz val="14"/>
            <color rgb="FF000000"/>
            <rFont val="Calibri"/>
            <family val="34"/>
          </rPr>
          <t xml:space="preserve">
</t>
        </r>
        <r>
          <rPr>
            <sz val="14"/>
            <color rgb="FF000000"/>
            <rFont val="Times New Roman"/>
            <family val="18"/>
          </rPr>
          <t xml:space="preserve">ST 10.821 Mähr-Schls. FW 1-2. Bats (1809-10) – AL Nr. 61 (Olmütz 30/04/1809), ST April (30/04/1810), ST July (15/08/1810) </t>
        </r>
        <r>
          <rPr>
            <sz val="14"/>
            <color rgb="FF000000"/>
            <rFont val="Calibri"/>
            <family val="34"/>
          </rPr>
          <t xml:space="preserve">
</t>
        </r>
        <r>
          <rPr>
            <sz val="14"/>
            <color rgb="FF000000"/>
            <rFont val="Times New Roman"/>
            <family val="18"/>
          </rPr>
          <t>ST 10.822 Mähr-Schls. FW 1-2. Bats (1810) – ST March-Oct (28/02/1811)</t>
        </r>
      </text>
    </comment>
    <comment ref="BH29" authorId="0" shapeId="0" xr:uid="{39CC0BC7-8C2C-F04B-892C-14392AF76AB4}">
      <text>
        <r>
          <rPr>
            <sz val="14"/>
            <color rgb="FF000000"/>
            <rFont val="Calibri"/>
            <family val="34"/>
          </rPr>
          <t>Mährisch-schlesischen Freiwillige (1809-1810)</t>
        </r>
      </text>
    </comment>
    <comment ref="BF31" authorId="0" shapeId="0" xr:uid="{F0C153DA-5CDB-6841-9BFA-03E138918220}">
      <text>
        <r>
          <rPr>
            <sz val="14"/>
            <color rgb="FF000000"/>
            <rFont val="Times New Roman"/>
            <family val="18"/>
          </rPr>
          <t xml:space="preserve">16/04/1809 </t>
        </r>
        <r>
          <rPr>
            <i/>
            <sz val="14"/>
            <color rgb="FF000000"/>
            <rFont val="Times New Roman"/>
            <family val="18"/>
          </rPr>
          <t>in Folge hoher General Commando Verordnung Ddet. Brunn am 5. Aprill 809 1683 von der Landwehr ins Mährisch-schlesischen Freiwillige 3 Bataillon transferiert und in 6. Kompanie zugeteilt</t>
        </r>
        <r>
          <rPr>
            <sz val="14"/>
            <color rgb="FF000000"/>
            <rFont val="Times New Roman"/>
            <family val="18"/>
          </rPr>
          <t xml:space="preserve"> [St April 1809]</t>
        </r>
        <r>
          <rPr>
            <sz val="14"/>
            <color rgb="FF000000"/>
            <rFont val="Calibri"/>
            <family val="34"/>
          </rPr>
          <t xml:space="preserve">
</t>
        </r>
        <r>
          <rPr>
            <sz val="14"/>
            <color rgb="FF000000"/>
            <rFont val="Times New Roman"/>
            <family val="18"/>
          </rPr>
          <t xml:space="preserve">09/07/1809 </t>
        </r>
        <r>
          <rPr>
            <i/>
            <sz val="14"/>
            <color rgb="FF000000"/>
            <rFont val="Times New Roman"/>
            <family val="18"/>
          </rPr>
          <t xml:space="preserve">In </t>
        </r>
        <r>
          <rPr>
            <b/>
            <i/>
            <sz val="14"/>
            <color rgb="FF000000"/>
            <rFont val="Times New Roman"/>
            <family val="18"/>
          </rPr>
          <t xml:space="preserve">Rückzug gegen Znaym </t>
        </r>
        <r>
          <rPr>
            <i/>
            <sz val="14"/>
            <color rgb="FF000000"/>
            <rFont val="Times New Roman"/>
            <family val="18"/>
          </rPr>
          <t>unwissend verloren</t>
        </r>
        <r>
          <rPr>
            <sz val="14"/>
            <color rgb="FF000000"/>
            <rFont val="Times New Roman"/>
            <family val="18"/>
          </rPr>
          <t xml:space="preserve"> [ST July 1809]</t>
        </r>
      </text>
    </comment>
    <comment ref="BG31" authorId="0" shapeId="0" xr:uid="{CE05E4BF-FCE4-5646-B223-A176A6BDBE95}">
      <text>
        <r>
          <rPr>
            <sz val="14"/>
            <color rgb="FF000000"/>
            <rFont val="Times New Roman"/>
            <family val="18"/>
          </rPr>
          <t>ML 10.815 EH Carl FK (1809-10) – AL Nr. 9 (Prague 28/03/1809), ST March (Prague 21/06/1809), ST Jan 1810 (??)</t>
        </r>
        <r>
          <rPr>
            <sz val="14"/>
            <color rgb="FF000000"/>
            <rFont val="Calibri"/>
            <family val="34"/>
          </rPr>
          <t xml:space="preserve">
</t>
        </r>
      </text>
    </comment>
    <comment ref="BH31" authorId="0" shapeId="0" xr:uid="{1F889CB3-2E04-7142-8527-BD2164C87A16}">
      <text>
        <r>
          <rPr>
            <sz val="14"/>
            <color rgb="FF000000"/>
            <rFont val="Calibri"/>
            <family val="34"/>
          </rPr>
          <t xml:space="preserve">Landwehr (1808-1809)
</t>
        </r>
        <r>
          <rPr>
            <sz val="14"/>
            <color rgb="FF000000"/>
            <rFont val="Calibri"/>
            <family val="34"/>
          </rPr>
          <t>Mährisch-schlesischen Freiwillige (1809)</t>
        </r>
      </text>
    </comment>
    <comment ref="BF32" authorId="0" shapeId="0" xr:uid="{E9FA512F-995D-F04F-A29C-4D7D0E0F390F}">
      <text>
        <r>
          <rPr>
            <i/>
            <sz val="14"/>
            <color rgb="FF000000"/>
            <rFont val="Times New Roman"/>
            <family val="18"/>
          </rPr>
          <t xml:space="preserve">Früher beim 2. Brünner Landwehr Bataillon gedient </t>
        </r>
        <r>
          <rPr>
            <sz val="14"/>
            <color rgb="FF000000"/>
            <rFont val="Calibri"/>
            <family val="34"/>
          </rPr>
          <t xml:space="preserve">
</t>
        </r>
        <r>
          <rPr>
            <i/>
            <sz val="14"/>
            <color rgb="FF000000"/>
            <rFont val="Times New Roman"/>
            <family val="18"/>
          </rPr>
          <t>Von Dominien gestellt</t>
        </r>
        <r>
          <rPr>
            <sz val="14"/>
            <color rgb="FF000000"/>
            <rFont val="Calibri"/>
            <family val="34"/>
          </rPr>
          <t xml:space="preserve">
</t>
        </r>
        <r>
          <rPr>
            <sz val="14"/>
            <color rgb="FF000000"/>
            <rFont val="Times New Roman"/>
            <family val="18"/>
          </rPr>
          <t xml:space="preserve">16/04/1809 </t>
        </r>
        <r>
          <rPr>
            <i/>
            <sz val="14"/>
            <color rgb="FF000000"/>
            <rFont val="Times New Roman"/>
            <family val="18"/>
          </rPr>
          <t>in Folge hoher General Commando Verordnung det. Brünn am 5. Aprill 809 1683 von der Landwehr ins Mährisch-schlesischen Freiwillige 3 Bataillon transferiert und in 6. Kompanie zugeteilt</t>
        </r>
        <r>
          <rPr>
            <sz val="14"/>
            <color rgb="FF000000"/>
            <rFont val="Times New Roman"/>
            <family val="18"/>
          </rPr>
          <t xml:space="preserve"> [St April 1809]</t>
        </r>
        <r>
          <rPr>
            <sz val="14"/>
            <color rgb="FF000000"/>
            <rFont val="Calibri"/>
            <family val="34"/>
          </rPr>
          <t xml:space="preserve">
</t>
        </r>
        <r>
          <rPr>
            <sz val="14"/>
            <color rgb="FFFF0000"/>
            <rFont val="Times New Roman"/>
            <family val="18"/>
          </rPr>
          <t xml:space="preserve">09/07/1809 </t>
        </r>
        <r>
          <rPr>
            <i/>
            <sz val="14"/>
            <color rgb="FFFF0000"/>
            <rFont val="Times New Roman"/>
            <family val="18"/>
          </rPr>
          <t>In Rückzug gegen Znaym unwissend verloren</t>
        </r>
        <r>
          <rPr>
            <sz val="14"/>
            <color rgb="FFFF0000"/>
            <rFont val="Times New Roman"/>
            <family val="18"/>
          </rPr>
          <t xml:space="preserve"> [ST July 1809]</t>
        </r>
        <r>
          <rPr>
            <sz val="14"/>
            <color rgb="FFFF0000"/>
            <rFont val="Calibri"/>
            <family val="34"/>
          </rPr>
          <t xml:space="preserve">
</t>
        </r>
        <r>
          <rPr>
            <sz val="14"/>
            <color rgb="FF000000"/>
            <rFont val="Times New Roman"/>
            <family val="18"/>
          </rPr>
          <t xml:space="preserve">09/07/1809 </t>
        </r>
        <r>
          <rPr>
            <i/>
            <sz val="14"/>
            <color rgb="FF000000"/>
            <rFont val="Times New Roman"/>
            <family val="18"/>
          </rPr>
          <t xml:space="preserve">Bei </t>
        </r>
        <r>
          <rPr>
            <b/>
            <i/>
            <sz val="14"/>
            <color rgb="FF000000"/>
            <rFont val="Times New Roman"/>
            <family val="18"/>
          </rPr>
          <t xml:space="preserve">Znaim </t>
        </r>
        <r>
          <rPr>
            <i/>
            <sz val="14"/>
            <color rgb="FF000000"/>
            <rFont val="Times New Roman"/>
            <family val="18"/>
          </rPr>
          <t>plessiert und gefangen</t>
        </r>
        <r>
          <rPr>
            <sz val="14"/>
            <color rgb="FF000000"/>
            <rFont val="Times New Roman"/>
            <family val="18"/>
          </rPr>
          <t xml:space="preserve"> [PL March 1811]</t>
        </r>
        <r>
          <rPr>
            <sz val="14"/>
            <color rgb="FF000000"/>
            <rFont val="Calibri"/>
            <family val="34"/>
          </rPr>
          <t xml:space="preserve">
</t>
        </r>
        <r>
          <rPr>
            <i/>
            <sz val="14"/>
            <color rgb="FF000000"/>
            <rFont val="Times New Roman"/>
            <family val="18"/>
          </rPr>
          <t>Verbrachte die Gefangenschaft in französisches Spital</t>
        </r>
        <r>
          <rPr>
            <sz val="14"/>
            <color rgb="FF000000"/>
            <rFont val="Times New Roman"/>
            <family val="18"/>
          </rPr>
          <t xml:space="preserve"> [PL March 1811]</t>
        </r>
        <r>
          <rPr>
            <sz val="14"/>
            <color rgb="FF000000"/>
            <rFont val="Calibri"/>
            <family val="34"/>
          </rPr>
          <t xml:space="preserve">
</t>
        </r>
        <r>
          <rPr>
            <sz val="14"/>
            <color rgb="FF000000"/>
            <rFont val="Times New Roman"/>
            <family val="18"/>
          </rPr>
          <t xml:space="preserve">28/02/1810 </t>
        </r>
        <r>
          <rPr>
            <i/>
            <sz val="14"/>
            <color rgb="FF000000"/>
            <rFont val="Times New Roman"/>
            <family val="18"/>
          </rPr>
          <t>Sich selbst ranzioniert, gemeldet und bei der 1. Komp. zurück in Stand gebracht und dann in Folge der Vorgeführten Verordnung P. 406 Mit Abschied entlassen</t>
        </r>
        <r>
          <rPr>
            <sz val="14"/>
            <color rgb="FF000000"/>
            <rFont val="Times New Roman"/>
            <family val="18"/>
          </rPr>
          <t xml:space="preserve"> [PL March 1811 &amp; ST Jan 1810]</t>
        </r>
      </text>
    </comment>
    <comment ref="BG32" authorId="0" shapeId="0" xr:uid="{CBA4B165-413E-F84E-9289-E4FC75536B6C}">
      <text>
        <r>
          <rPr>
            <sz val="14"/>
            <color rgb="FF000000"/>
            <rFont val="+mn-lt"/>
            <charset val="1"/>
          </rPr>
          <t>ST 11.823 Mähr-Schls. FW 3. Bat (1809-10) – PL Nr. 30 (Olmütz 31/03/1811), April (Olmütz 01/12/1810), ST July 1809 (05/01/1811), ST Feb 1810 (Olmütz 31/03/1811)</t>
        </r>
      </text>
    </comment>
    <comment ref="BH32" authorId="0" shapeId="0" xr:uid="{F349A021-6D00-5C40-8287-6E76CF4398F2}">
      <text>
        <r>
          <rPr>
            <sz val="14"/>
            <color rgb="FF000000"/>
            <rFont val="Calibri"/>
            <family val="34"/>
          </rPr>
          <t xml:space="preserve">Brünn LWB 2 (1808-1809)
</t>
        </r>
        <r>
          <rPr>
            <sz val="14"/>
            <color rgb="FF000000"/>
            <rFont val="Calibri"/>
            <family val="34"/>
          </rPr>
          <t>Mährisch-schlesischen Freiwillige (1809-1810)</t>
        </r>
      </text>
    </comment>
    <comment ref="BF33" authorId="0" shapeId="0" xr:uid="{705D4008-765B-2B4F-A0EF-A57476268046}">
      <text>
        <r>
          <rPr>
            <sz val="14"/>
            <color rgb="FF000000"/>
            <rFont val="Times New Roman"/>
            <family val="18"/>
          </rPr>
          <t xml:space="preserve">16/04/1809 </t>
        </r>
        <r>
          <rPr>
            <i/>
            <sz val="14"/>
            <color rgb="FF000000"/>
            <rFont val="Times New Roman"/>
            <family val="18"/>
          </rPr>
          <t>In Folge hoher General Commando Verordnung Ddet. Brunn am 5. Aprill 809 1683 von der Landwehr ins Mährisch-schlesischen Freiwillige 3 Bataillon transferiert und in 6. Kompanie zugeteilt</t>
        </r>
        <r>
          <rPr>
            <sz val="14"/>
            <color rgb="FF000000"/>
            <rFont val="Times New Roman"/>
            <family val="18"/>
          </rPr>
          <t xml:space="preserve"> [ST April 1809]
</t>
        </r>
        <r>
          <rPr>
            <sz val="14"/>
            <color rgb="FF000000"/>
            <rFont val="Times New Roman"/>
            <family val="18"/>
          </rPr>
          <t xml:space="preserve">01/05/1809 </t>
        </r>
        <r>
          <rPr>
            <i/>
            <sz val="14"/>
            <color rgb="FF000000"/>
            <rFont val="Times New Roman"/>
            <family val="18"/>
          </rPr>
          <t>Beim Depot zum Brünn mit Friedensgebühr</t>
        </r>
        <r>
          <rPr>
            <sz val="14"/>
            <color rgb="FF000000"/>
            <rFont val="Times New Roman"/>
            <family val="18"/>
          </rPr>
          <t xml:space="preserve"> [ST May 1809]</t>
        </r>
        <r>
          <rPr>
            <sz val="14"/>
            <color rgb="FF000000"/>
            <rFont val="Calibri"/>
            <family val="34"/>
          </rPr>
          <t xml:space="preserve">
</t>
        </r>
        <r>
          <rPr>
            <sz val="14"/>
            <color rgb="FF000000"/>
            <rFont val="Times New Roman"/>
            <family val="18"/>
          </rPr>
          <t xml:space="preserve">15/08/1809 </t>
        </r>
        <r>
          <rPr>
            <i/>
            <sz val="14"/>
            <color rgb="FF000000"/>
            <rFont val="Times New Roman"/>
            <family val="18"/>
          </rPr>
          <t>Sonst auswärts Krank</t>
        </r>
        <r>
          <rPr>
            <sz val="14"/>
            <color rgb="FF000000"/>
            <rFont val="Times New Roman"/>
            <family val="18"/>
          </rPr>
          <t xml:space="preserve"> [ST Aug 1809]</t>
        </r>
        <r>
          <rPr>
            <sz val="14"/>
            <color rgb="FF000000"/>
            <rFont val="Calibri"/>
            <family val="34"/>
          </rPr>
          <t xml:space="preserve">
</t>
        </r>
        <r>
          <rPr>
            <sz val="14"/>
            <color rgb="FF000000"/>
            <rFont val="Times New Roman"/>
            <family val="18"/>
          </rPr>
          <t xml:space="preserve">01/09/1809 </t>
        </r>
        <r>
          <rPr>
            <i/>
            <sz val="14"/>
            <color rgb="FF000000"/>
            <rFont val="Times New Roman"/>
            <family val="18"/>
          </rPr>
          <t>Von dissolvierte 6. Komp. Zum 1. Komp. transferiert</t>
        </r>
        <r>
          <rPr>
            <sz val="14"/>
            <color rgb="FF000000"/>
            <rFont val="Times New Roman"/>
            <family val="18"/>
          </rPr>
          <t xml:space="preserve"> [ST Sept 1809]</t>
        </r>
        <r>
          <rPr>
            <sz val="14"/>
            <color rgb="FF000000"/>
            <rFont val="Calibri"/>
            <family val="34"/>
          </rPr>
          <t xml:space="preserve">
</t>
        </r>
        <r>
          <rPr>
            <sz val="14"/>
            <color rgb="FF000000"/>
            <rFont val="Times New Roman"/>
            <family val="18"/>
          </rPr>
          <t>31/01/1810 Revision: 3 Bat 1. Komp Nr. 148 [</t>
        </r>
        <r>
          <rPr>
            <i/>
            <sz val="14"/>
            <color rgb="FF000000"/>
            <rFont val="Times New Roman"/>
            <family val="18"/>
          </rPr>
          <t>Auf unbestimmte Urlaub</t>
        </r>
        <r>
          <rPr>
            <sz val="14"/>
            <color rgb="FF000000"/>
            <rFont val="Times New Roman"/>
            <family val="18"/>
          </rPr>
          <t>]</t>
        </r>
        <r>
          <rPr>
            <sz val="14"/>
            <color rgb="FF000000"/>
            <rFont val="Calibri"/>
            <family val="34"/>
          </rPr>
          <t xml:space="preserve">
</t>
        </r>
        <r>
          <rPr>
            <sz val="14"/>
            <color rgb="FF000000"/>
            <rFont val="Times New Roman"/>
            <family val="18"/>
          </rPr>
          <t xml:space="preserve">28/02/1810 </t>
        </r>
        <r>
          <rPr>
            <i/>
            <sz val="14"/>
            <color rgb="FF000000"/>
            <rFont val="Times New Roman"/>
            <family val="18"/>
          </rPr>
          <t>In Folge der Vorgeführten Verordnung P. 406 Mit Abschied entlassen</t>
        </r>
        <r>
          <rPr>
            <sz val="14"/>
            <color rgb="FF000000"/>
            <rFont val="Times New Roman"/>
            <family val="18"/>
          </rPr>
          <t xml:space="preserve"> [ST Feb 1810]</t>
        </r>
      </text>
    </comment>
    <comment ref="BG33" authorId="0" shapeId="0" xr:uid="{7DE98BE7-D2E5-1D42-B433-D7EABCF34D61}">
      <text>
        <r>
          <rPr>
            <sz val="14"/>
            <color rgb="FF000000"/>
            <rFont val="Times New Roman"/>
            <family val="18"/>
          </rPr>
          <t>ST 11.821 Mähr-Schls. FW 1-3. Bats (1809-10) – RL 3. Bat 1. Komp. Nr. 148 (Poppowitz 31/01/1810)</t>
        </r>
        <r>
          <rPr>
            <sz val="14"/>
            <color rgb="FF000000"/>
            <rFont val="Calibri"/>
            <family val="34"/>
          </rPr>
          <t xml:space="preserve">
</t>
        </r>
        <r>
          <rPr>
            <sz val="14"/>
            <color rgb="FF000000"/>
            <rFont val="Times New Roman"/>
            <family val="18"/>
          </rPr>
          <t>ST 11.823 Mähr-Schls. FW 3. Bat (1809-10) – PL Nr. 30 (Olmütz 31/03/1811), April (Olmütz 01/12/1810), May (01/12/1810), Aug (Olmütz 11/03/1810), ST Feb 1810 (Olmütz 31/03/1811)</t>
        </r>
      </text>
    </comment>
    <comment ref="BH33" authorId="0" shapeId="0" xr:uid="{6080FC7A-86C5-A846-8038-EF36EB23B286}">
      <text>
        <r>
          <rPr>
            <sz val="14"/>
            <color rgb="FF000000"/>
            <rFont val="Calibri"/>
            <family val="34"/>
          </rPr>
          <t xml:space="preserve">Landwehr (1808-1809)
</t>
        </r>
        <r>
          <rPr>
            <sz val="14"/>
            <color rgb="FF000000"/>
            <rFont val="Calibri"/>
            <family val="34"/>
          </rPr>
          <t>Mährisch-schlesischen Freiwillige (1809-1810)</t>
        </r>
      </text>
    </comment>
    <comment ref="BF34" authorId="0" shapeId="0" xr:uid="{D5B4937B-E7F1-5B47-BC26-6E52C34E2D5D}">
      <text>
        <r>
          <rPr>
            <sz val="14"/>
            <color rgb="FF000000"/>
            <rFont val="Times New Roman"/>
            <family val="18"/>
          </rPr>
          <t xml:space="preserve">16/04/1809 </t>
        </r>
        <r>
          <rPr>
            <i/>
            <sz val="14"/>
            <color rgb="FF000000"/>
            <rFont val="Times New Roman"/>
            <family val="18"/>
          </rPr>
          <t>in Folge hoher General Commando Verordnung Ddet. Brunn am 5. Aprill 809 1683 von der Landwehr ins Mährisch-schlesischen Freiwillige 3 Bataillon transferiert und in 6. Kompanie zugeteilt</t>
        </r>
        <r>
          <rPr>
            <sz val="14"/>
            <color rgb="FF000000"/>
            <rFont val="Times New Roman"/>
            <family val="18"/>
          </rPr>
          <t xml:space="preserve"> [St April 1809]</t>
        </r>
        <r>
          <rPr>
            <sz val="14"/>
            <color rgb="FF000000"/>
            <rFont val="Calibri"/>
            <family val="34"/>
          </rPr>
          <t xml:space="preserve">
</t>
        </r>
        <r>
          <rPr>
            <sz val="14"/>
            <color rgb="FF000000"/>
            <rFont val="Times New Roman"/>
            <family val="18"/>
          </rPr>
          <t xml:space="preserve">01/05/1809 </t>
        </r>
        <r>
          <rPr>
            <i/>
            <sz val="14"/>
            <color rgb="FF000000"/>
            <rFont val="Times New Roman"/>
            <family val="18"/>
          </rPr>
          <t>Beim Depot zum Brünn mit Friedensgebühr</t>
        </r>
        <r>
          <rPr>
            <sz val="14"/>
            <color rgb="FF000000"/>
            <rFont val="Times New Roman"/>
            <family val="18"/>
          </rPr>
          <t xml:space="preserve"> [ST May 1809]</t>
        </r>
        <r>
          <rPr>
            <sz val="14"/>
            <color rgb="FF000000"/>
            <rFont val="Calibri"/>
            <family val="34"/>
          </rPr>
          <t xml:space="preserve">
</t>
        </r>
        <r>
          <rPr>
            <sz val="14"/>
            <color rgb="FF000000"/>
            <rFont val="Times New Roman"/>
            <family val="18"/>
          </rPr>
          <t xml:space="preserve">11/07/1809 </t>
        </r>
        <r>
          <rPr>
            <i/>
            <sz val="14"/>
            <color rgb="FF000000"/>
            <rFont val="Times New Roman"/>
            <family val="18"/>
          </rPr>
          <t>Mit auswärtiger Gebühr Krank in Spital in Oberitz</t>
        </r>
        <r>
          <rPr>
            <sz val="14"/>
            <color rgb="FF000000"/>
            <rFont val="Times New Roman"/>
            <family val="18"/>
          </rPr>
          <t xml:space="preserve"> [ST July 1809]</t>
        </r>
        <r>
          <rPr>
            <sz val="14"/>
            <color rgb="FF000000"/>
            <rFont val="Calibri"/>
            <family val="34"/>
          </rPr>
          <t xml:space="preserve">
</t>
        </r>
        <r>
          <rPr>
            <sz val="14"/>
            <color rgb="FF000000"/>
            <rFont val="Times New Roman"/>
            <family val="18"/>
          </rPr>
          <t xml:space="preserve">01/09/1809 </t>
        </r>
        <r>
          <rPr>
            <i/>
            <sz val="14"/>
            <color rgb="FF000000"/>
            <rFont val="Times New Roman"/>
            <family val="18"/>
          </rPr>
          <t>Von dissolvierte 6. Komp. Zum 1. Komp transferiert</t>
        </r>
        <r>
          <rPr>
            <sz val="14"/>
            <color rgb="FF000000"/>
            <rFont val="Times New Roman"/>
            <family val="18"/>
          </rPr>
          <t xml:space="preserve"> [ST Sept 1809]</t>
        </r>
        <r>
          <rPr>
            <sz val="14"/>
            <color rgb="FF000000"/>
            <rFont val="Calibri"/>
            <family val="34"/>
          </rPr>
          <t xml:space="preserve">
</t>
        </r>
        <r>
          <rPr>
            <sz val="14"/>
            <color rgb="FF000000"/>
            <rFont val="Times New Roman"/>
            <family val="18"/>
          </rPr>
          <t>31/01/1810 Revision: 3 Bat 1. Komp Nr. 149 [Auf unbestimmte Urlaub]</t>
        </r>
        <r>
          <rPr>
            <sz val="14"/>
            <color rgb="FF000000"/>
            <rFont val="Calibri"/>
            <family val="34"/>
          </rPr>
          <t xml:space="preserve">
</t>
        </r>
        <r>
          <rPr>
            <sz val="14"/>
            <color rgb="FF000000"/>
            <rFont val="Times New Roman"/>
            <family val="18"/>
          </rPr>
          <t xml:space="preserve">28/02/1810 </t>
        </r>
        <r>
          <rPr>
            <i/>
            <sz val="14"/>
            <color rgb="FF000000"/>
            <rFont val="Times New Roman"/>
            <family val="18"/>
          </rPr>
          <t>In Folge der Vorgeführten Verordnung P. 406 Mit Abschied entlassen</t>
        </r>
        <r>
          <rPr>
            <sz val="14"/>
            <color rgb="FF000000"/>
            <rFont val="Times New Roman"/>
            <family val="18"/>
          </rPr>
          <t xml:space="preserve"> [ST Feb 1810]</t>
        </r>
      </text>
    </comment>
    <comment ref="BG34" authorId="0" shapeId="0" xr:uid="{BB46A739-1F5F-7A49-9374-7BD96EBFE894}">
      <text>
        <r>
          <rPr>
            <sz val="14"/>
            <color rgb="FF000000"/>
            <rFont val="Times New Roman"/>
            <family val="18"/>
          </rPr>
          <t>ST 11.821 Mähr-Schls. FW 1-3. Bats (1809-10) – RL 3. Bat 1. Komp. Nr. 149 (Poppowitz 31/01/1810)</t>
        </r>
        <r>
          <rPr>
            <sz val="14"/>
            <color rgb="FF000000"/>
            <rFont val="Calibri"/>
            <family val="34"/>
          </rPr>
          <t xml:space="preserve">
</t>
        </r>
        <r>
          <rPr>
            <sz val="14"/>
            <color rgb="FF000000"/>
            <rFont val="Times New Roman"/>
            <family val="18"/>
          </rPr>
          <t>ST 11.823 Mähr-Schls. FW 3. Bat (1809-10) – PL Nr. 30 (Olmütz 31/03/1811), April (Olmütz 01/12/1810), May (Olmütz 01/12/1810), July (Olmütz 05/01/1811), ST Feb 1810 (Olmütz 31/03/1811)</t>
        </r>
      </text>
    </comment>
    <comment ref="BH34" authorId="0" shapeId="0" xr:uid="{69AE870E-C13E-1346-BC78-EBC0F5BFE804}">
      <text>
        <r>
          <rPr>
            <sz val="14"/>
            <color rgb="FF000000"/>
            <rFont val="Calibri"/>
            <family val="34"/>
          </rPr>
          <t xml:space="preserve">Landwehr (1808-1809)
</t>
        </r>
        <r>
          <rPr>
            <sz val="14"/>
            <color rgb="FF000000"/>
            <rFont val="Calibri"/>
            <family val="34"/>
          </rPr>
          <t>Mährisch-schlesischen Freiwillige (1809-1810)</t>
        </r>
      </text>
    </comment>
    <comment ref="BF36" authorId="0" shapeId="0" xr:uid="{0E61AFCC-F420-E844-ACC3-24F6443848C6}">
      <text>
        <r>
          <rPr>
            <sz val="14"/>
            <color rgb="FF000000"/>
            <rFont val="Times New Roman"/>
            <family val="18"/>
          </rPr>
          <t>27/10/1809</t>
        </r>
        <r>
          <rPr>
            <i/>
            <sz val="14"/>
            <color rgb="FF000000"/>
            <rFont val="Times New Roman"/>
            <family val="18"/>
          </rPr>
          <t xml:space="preserve"> Zum 1. Ostgalizische Freibataillon gestellt, zum Kolomea assentiert und zum 2. Kompanie eingeheilt. Laut assentlisten das Handgeld zu 3 Gulden noch zu fordern</t>
        </r>
        <r>
          <rPr>
            <sz val="14"/>
            <color rgb="FF000000"/>
            <rFont val="Times New Roman"/>
            <family val="18"/>
          </rPr>
          <t xml:space="preserve"> [AL Nov 1809 &amp; ST Nov 1809]</t>
        </r>
        <r>
          <rPr>
            <sz val="14"/>
            <color rgb="FF000000"/>
            <rFont val="Aptos"/>
            <family val="34"/>
          </rPr>
          <t xml:space="preserve">
</t>
        </r>
        <r>
          <rPr>
            <sz val="14"/>
            <color rgb="FF000000"/>
            <rFont val="Times New Roman"/>
            <family val="18"/>
          </rPr>
          <t xml:space="preserve">26/11/1809 </t>
        </r>
        <r>
          <rPr>
            <i/>
            <sz val="14"/>
            <color rgb="FF000000"/>
            <rFont val="Times New Roman"/>
            <family val="18"/>
          </rPr>
          <t>Krank in auswärtiger Spital</t>
        </r>
        <r>
          <rPr>
            <sz val="14"/>
            <color rgb="FF000000"/>
            <rFont val="Times New Roman"/>
            <family val="18"/>
          </rPr>
          <t xml:space="preserve"> [ST Nov 1809]</t>
        </r>
        <r>
          <rPr>
            <sz val="14"/>
            <color rgb="FF000000"/>
            <rFont val="Aptos"/>
            <family val="34"/>
          </rPr>
          <t xml:space="preserve">
</t>
        </r>
        <r>
          <rPr>
            <sz val="14"/>
            <color rgb="FFFF0000"/>
            <rFont val="Times New Roman"/>
            <family val="18"/>
          </rPr>
          <t xml:space="preserve">11/12/1809 </t>
        </r>
        <r>
          <rPr>
            <i/>
            <sz val="14"/>
            <color rgb="FFFF0000"/>
            <rFont val="Times New Roman"/>
            <family val="18"/>
          </rPr>
          <t>gestorben</t>
        </r>
        <r>
          <rPr>
            <sz val="14"/>
            <color rgb="FFFF0000"/>
            <rFont val="Times New Roman"/>
            <family val="18"/>
          </rPr>
          <t xml:space="preserve"> [ST Dec 1809]</t>
        </r>
        <r>
          <rPr>
            <sz val="14"/>
            <color rgb="FF000000"/>
            <rFont val="Aptos"/>
            <family val="34"/>
          </rPr>
          <t xml:space="preserve">
</t>
        </r>
        <r>
          <rPr>
            <sz val="14"/>
            <color rgb="FF000000"/>
            <rFont val="Times New Roman"/>
            <family val="18"/>
          </rPr>
          <t xml:space="preserve">05/01/1810 Von </t>
        </r>
        <r>
          <rPr>
            <i/>
            <sz val="14"/>
            <color rgb="FF000000"/>
            <rFont val="Times New Roman"/>
            <family val="18"/>
          </rPr>
          <t xml:space="preserve">1. Ostgalizische Freibataillon 2. Kompanie zum IR 41 Kottulinsky transferiert, seitdem auf anhero Marsch </t>
        </r>
        <r>
          <rPr>
            <sz val="14"/>
            <color rgb="FF000000"/>
            <rFont val="Times New Roman"/>
            <family val="18"/>
          </rPr>
          <t>[TL Jan 1810 &amp; ST Jan 1810]</t>
        </r>
        <r>
          <rPr>
            <sz val="14"/>
            <color rgb="FF000000"/>
            <rFont val="Aptos"/>
            <family val="34"/>
          </rPr>
          <t xml:space="preserve">
</t>
        </r>
        <r>
          <rPr>
            <sz val="14"/>
            <color rgb="FF000000"/>
            <rFont val="Times New Roman"/>
            <family val="18"/>
          </rPr>
          <t xml:space="preserve">09/01/1810 </t>
        </r>
        <r>
          <rPr>
            <i/>
            <sz val="14"/>
            <color rgb="FF000000"/>
            <rFont val="Times New Roman"/>
            <family val="18"/>
          </rPr>
          <t>Eingerückt und zum 1. Reserve Komp eingeteilt</t>
        </r>
        <r>
          <rPr>
            <sz val="14"/>
            <color rgb="FF000000"/>
            <rFont val="Times New Roman"/>
            <family val="18"/>
          </rPr>
          <t xml:space="preserve"> [ST Jan 1810] </t>
        </r>
        <r>
          <rPr>
            <sz val="14"/>
            <color rgb="FF000000"/>
            <rFont val="Aptos"/>
            <family val="34"/>
          </rPr>
          <t xml:space="preserve">
</t>
        </r>
        <r>
          <rPr>
            <sz val="14"/>
            <color rgb="FF000000"/>
            <rFont val="Times New Roman"/>
            <family val="18"/>
          </rPr>
          <t xml:space="preserve">01/02/1810 </t>
        </r>
        <r>
          <rPr>
            <i/>
            <sz val="14"/>
            <color rgb="FF000000"/>
            <rFont val="Times New Roman"/>
            <family val="18"/>
          </rPr>
          <t>Von 1. Zum 6. Fus. Komp. transferiert</t>
        </r>
        <r>
          <rPr>
            <sz val="14"/>
            <color rgb="FF000000"/>
            <rFont val="Times New Roman"/>
            <family val="18"/>
          </rPr>
          <t xml:space="preserve"> [ST Feb 1810]</t>
        </r>
        <r>
          <rPr>
            <sz val="14"/>
            <color rgb="FF000000"/>
            <rFont val="Aptos"/>
            <family val="34"/>
          </rPr>
          <t xml:space="preserve">
</t>
        </r>
        <r>
          <rPr>
            <sz val="14"/>
            <color rgb="FF000000"/>
            <rFont val="Times New Roman"/>
            <family val="18"/>
          </rPr>
          <t xml:space="preserve">15/08/1810 </t>
        </r>
        <r>
          <rPr>
            <i/>
            <sz val="14"/>
            <color rgb="FF000000"/>
            <rFont val="Times New Roman"/>
            <family val="18"/>
          </rPr>
          <t xml:space="preserve">Vermog General Kommando Verordnung ddo. Lemberg am 25. Juli 810 Nr. 5854 mittels Kossion </t>
        </r>
        <r>
          <rPr>
            <sz val="14"/>
            <color rgb="FF000000"/>
            <rFont val="Times New Roman"/>
            <family val="18"/>
          </rPr>
          <t xml:space="preserve">[Konzession] </t>
        </r>
        <r>
          <rPr>
            <i/>
            <sz val="14"/>
            <color rgb="FF000000"/>
            <rFont val="Times New Roman"/>
            <family val="18"/>
          </rPr>
          <t>mit Abschied entlassen</t>
        </r>
        <r>
          <rPr>
            <sz val="14"/>
            <color rgb="FF000000"/>
            <rFont val="Times New Roman"/>
            <family val="18"/>
          </rPr>
          <t xml:space="preserve"> [ST Aug 1810] </t>
        </r>
        <r>
          <rPr>
            <sz val="14"/>
            <color rgb="FF000000"/>
            <rFont val="Aptos"/>
            <family val="34"/>
          </rPr>
          <t xml:space="preserve">
</t>
        </r>
      </text>
    </comment>
    <comment ref="BG36" authorId="0" shapeId="0" xr:uid="{42D74365-C9CC-3F48-ABA2-682D4F91E92C}">
      <text>
        <r>
          <rPr>
            <sz val="14"/>
            <color rgb="FF000000"/>
            <rFont val="Times New Roman"/>
            <family val="18"/>
          </rPr>
          <t>ML 10.829 Ostgalizische 1. FB (1809) – AL Nr. 49 (Kolomea 03/11/1809), ST Nov (Stanislau 03/08/1810), Dec (Stanislau 03/08/1810)</t>
        </r>
        <r>
          <rPr>
            <sz val="14"/>
            <color rgb="FF000000"/>
            <rFont val="Aptos"/>
            <family val="34"/>
          </rPr>
          <t xml:space="preserve">
</t>
        </r>
        <r>
          <rPr>
            <sz val="14"/>
            <color rgb="FF000000"/>
            <rFont val="Times New Roman"/>
            <family val="18"/>
          </rPr>
          <t>ML 10.830 Ostgalizische 1. FB (1810) – TL Nr. 42 (Stanislau 02/07/1810)</t>
        </r>
        <r>
          <rPr>
            <sz val="14"/>
            <color rgb="FF000000"/>
            <rFont val="Aptos"/>
            <family val="34"/>
          </rPr>
          <t xml:space="preserve">
</t>
        </r>
        <r>
          <rPr>
            <sz val="14"/>
            <color rgb="FF000000"/>
            <rFont val="Times New Roman"/>
            <family val="18"/>
          </rPr>
          <t>ML 3727 IR 41 (1810) – ST Jan (20/10/1810), Feb (24/10/1810), Aug (Sanok 22/12/1810)</t>
        </r>
        <r>
          <rPr>
            <sz val="14"/>
            <color rgb="FF000000"/>
            <rFont val="Aptos"/>
            <family val="34"/>
          </rPr>
          <t xml:space="preserve">
</t>
        </r>
        <r>
          <rPr>
            <sz val="14"/>
            <color rgb="FF000000"/>
            <rFont val="Times New Roman"/>
            <family val="18"/>
          </rPr>
          <t>ML 3728 IR 41 (1810) AL/TL – TL FB EGal 1-&gt;IR 41 Nr. 52 (Stanislau 02/07/1810)</t>
        </r>
        <r>
          <rPr>
            <sz val="14"/>
            <color rgb="FF000000"/>
            <rFont val="Aptos"/>
            <family val="34"/>
          </rPr>
          <t xml:space="preserve">
</t>
        </r>
      </text>
    </comment>
    <comment ref="BH36" authorId="0" shapeId="0" xr:uid="{5B1B6AF3-43A7-DC40-B404-73AEA1758F51}">
      <text>
        <r>
          <rPr>
            <sz val="14"/>
            <color rgb="FF000000"/>
            <rFont val="Calibri"/>
            <family val="34"/>
          </rPr>
          <t xml:space="preserve">EGal FB 1 (1809-1810)
</t>
        </r>
        <r>
          <rPr>
            <sz val="14"/>
            <color rgb="FF000000"/>
            <rFont val="Calibri"/>
            <family val="34"/>
          </rPr>
          <t>IR 41 (1810)</t>
        </r>
      </text>
    </comment>
    <comment ref="BI36" authorId="0" shapeId="0" xr:uid="{F70FE6F8-E63F-DD47-B5D4-331DF6D051C6}">
      <text>
        <r>
          <rPr>
            <i/>
            <sz val="14"/>
            <color rgb="FF000000"/>
            <rFont val="Times New Roman"/>
            <family val="18"/>
          </rPr>
          <t>Gut</t>
        </r>
        <r>
          <rPr>
            <sz val="14"/>
            <color rgb="FF000000"/>
            <rFont val="Times New Roman"/>
            <family val="18"/>
          </rPr>
          <t xml:space="preserve"> [TL Jan 1810]</t>
        </r>
      </text>
    </comment>
    <comment ref="BF37" authorId="0" shapeId="0" xr:uid="{CF86BDB0-E9CC-F74F-989C-F8E360C6DB61}">
      <text>
        <r>
          <rPr>
            <sz val="14"/>
            <color rgb="FF000000"/>
            <rFont val="Times New Roman"/>
            <family val="18"/>
          </rPr>
          <t>27/10/1809</t>
        </r>
        <r>
          <rPr>
            <i/>
            <sz val="14"/>
            <color rgb="FF000000"/>
            <rFont val="Times New Roman"/>
            <family val="18"/>
          </rPr>
          <t xml:space="preserve"> mit zehnjährigen Capitulation zum 1. Ostgalizische Freibataillon von der Stanislauer Kreis gestellt und zum 4. Kompanie eingeheilt</t>
        </r>
        <r>
          <rPr>
            <sz val="14"/>
            <color rgb="FF000000"/>
            <rFont val="Times New Roman"/>
            <family val="18"/>
          </rPr>
          <t xml:space="preserve"> [AL Oct 1809 &amp; ST Nov 1809]</t>
        </r>
        <r>
          <rPr>
            <sz val="14"/>
            <color rgb="FF000000"/>
            <rFont val="Calibri"/>
            <family val="34"/>
          </rPr>
          <t xml:space="preserve">
</t>
        </r>
        <r>
          <rPr>
            <sz val="14"/>
            <color rgb="FF000000"/>
            <rFont val="Times New Roman"/>
            <family val="18"/>
          </rPr>
          <t xml:space="preserve">14/12/1809 </t>
        </r>
        <r>
          <rPr>
            <i/>
            <sz val="14"/>
            <color rgb="FF000000"/>
            <rFont val="Times New Roman"/>
            <family val="18"/>
          </rPr>
          <t>Bis zur erhoffenden Entlausung beurlaubt</t>
        </r>
        <r>
          <rPr>
            <sz val="14"/>
            <color rgb="FF000000"/>
            <rFont val="Times New Roman"/>
            <family val="18"/>
          </rPr>
          <t xml:space="preserve"> [ST Dec 1809]</t>
        </r>
        <r>
          <rPr>
            <sz val="14"/>
            <color rgb="FF000000"/>
            <rFont val="Calibri"/>
            <family val="34"/>
          </rPr>
          <t xml:space="preserve">
</t>
        </r>
        <r>
          <rPr>
            <sz val="14"/>
            <color rgb="FF000000"/>
            <rFont val="Times New Roman"/>
            <family val="18"/>
          </rPr>
          <t xml:space="preserve">13/12/1809 </t>
        </r>
        <r>
          <rPr>
            <i/>
            <sz val="14"/>
            <color rgb="FF000000"/>
            <rFont val="Times New Roman"/>
            <family val="18"/>
          </rPr>
          <t>Gegen Stellung des Gemeinen Johann Schiminski so in diesem Monat bei eben derselben companie in zuwachs erscheinend und Erlag des Monturgeldes gr. 53Fl 28xr laut hoher General Commando Verordnung det. Lemberg am 12 Jannuer 1810 Nr. 22 Lit U auf Steuerbare Wirtschaft mit Abschied entlassen</t>
        </r>
        <r>
          <rPr>
            <sz val="14"/>
            <color rgb="FF000000"/>
            <rFont val="Times New Roman"/>
            <family val="18"/>
          </rPr>
          <t xml:space="preserve"> [ST Jan 1810]</t>
        </r>
        <r>
          <rPr>
            <sz val="14"/>
            <color rgb="FF000000"/>
            <rFont val="Calibri"/>
            <family val="34"/>
          </rPr>
          <t xml:space="preserve">
</t>
        </r>
      </text>
    </comment>
    <comment ref="BG37" authorId="0" shapeId="0" xr:uid="{A0647792-63DD-F047-AB11-C77B91CF62C6}">
      <text>
        <r>
          <rPr>
            <sz val="14"/>
            <color rgb="FF000000"/>
            <rFont val="Times New Roman"/>
            <family val="18"/>
          </rPr>
          <t>ML 10.829 Ostgalizische 1. FB (1809) – AL Nr. 47 (Stanislau 27/10/1809), ST Nov (Stanislau 03/08/1810), ST Dec (Stanislau 03/08/1810)</t>
        </r>
        <r>
          <rPr>
            <sz val="14"/>
            <color rgb="FF000000"/>
            <rFont val="Calibri"/>
            <family val="34"/>
          </rPr>
          <t xml:space="preserve">
</t>
        </r>
        <r>
          <rPr>
            <sz val="14"/>
            <color rgb="FF000000"/>
            <rFont val="Times New Roman"/>
            <family val="18"/>
          </rPr>
          <t>ML 10.830 Ostgalizische 1. FB (1810) – ST Jan (Stanislau 03/08/1810)</t>
        </r>
        <r>
          <rPr>
            <sz val="14"/>
            <color rgb="FF000000"/>
            <rFont val="Calibri"/>
            <family val="34"/>
          </rPr>
          <t xml:space="preserve">
</t>
        </r>
      </text>
    </comment>
    <comment ref="BH37" authorId="0" shapeId="0" xr:uid="{73C12F0B-C606-8443-B7CF-8A362AADABFD}">
      <text>
        <r>
          <rPr>
            <sz val="14"/>
            <color rgb="FF000000"/>
            <rFont val="Calibri"/>
            <family val="34"/>
          </rPr>
          <t>EGal FB 1 (1809)</t>
        </r>
      </text>
    </comment>
    <comment ref="BF38" authorId="0" shapeId="0" xr:uid="{A3617F54-B71F-3B40-874E-70B0BEB9989E}">
      <text>
        <r>
          <rPr>
            <sz val="14"/>
            <color rgb="FF000000"/>
            <rFont val="Times New Roman"/>
            <family val="18"/>
          </rPr>
          <t>29/10/1809</t>
        </r>
        <r>
          <rPr>
            <i/>
            <sz val="14"/>
            <color rgb="FF000000"/>
            <rFont val="Times New Roman"/>
            <family val="18"/>
          </rPr>
          <t xml:space="preserve"> Zum 1. Ostgalizische Freibataillon gestellt, zum Kolomea assentiert und zum 3. Kompanie eingeheilt. Laut assentlisten das Handgeld zu 3 Gulden noch zu fordern</t>
        </r>
        <r>
          <rPr>
            <sz val="14"/>
            <color rgb="FF000000"/>
            <rFont val="Times New Roman"/>
            <family val="18"/>
          </rPr>
          <t xml:space="preserve"> [AL Nov 1809 &amp; ST Nov 1809] [AL Nov 1809 &amp; ST Nov 1809]</t>
        </r>
        <r>
          <rPr>
            <sz val="14"/>
            <color rgb="FF000000"/>
            <rFont val="Calibri"/>
            <family val="34"/>
          </rPr>
          <t xml:space="preserve">
</t>
        </r>
        <r>
          <rPr>
            <sz val="14"/>
            <color rgb="FF000000"/>
            <rFont val="Times New Roman"/>
            <family val="18"/>
          </rPr>
          <t xml:space="preserve">31/12/1809 </t>
        </r>
        <r>
          <rPr>
            <i/>
            <sz val="14"/>
            <color rgb="FF000000"/>
            <rFont val="Times New Roman"/>
            <family val="18"/>
          </rPr>
          <t>Gegen Stellung des Gemeinen Conrad Konszarowski so in diesem Monat bei eben derselben companie in zuwachs erscheinend und Erlad des Monturgeldes gr. 53Fl 28xr laut hoher General Commando Verordnung det. Lemberg am 12 Jannuer 1810 Nr. 22 Lit U auf Steurbare Wirtschaft mit Abschied entlassen</t>
        </r>
        <r>
          <rPr>
            <sz val="14"/>
            <color rgb="FF000000"/>
            <rFont val="Times New Roman"/>
            <family val="18"/>
          </rPr>
          <t xml:space="preserve"> [ST Jan 1810]</t>
        </r>
        <r>
          <rPr>
            <sz val="14"/>
            <color rgb="FF000000"/>
            <rFont val="Calibri"/>
            <family val="34"/>
          </rPr>
          <t xml:space="preserve">
</t>
        </r>
      </text>
    </comment>
    <comment ref="BG38" authorId="0" shapeId="0" xr:uid="{8F339050-330A-834E-AA10-431729D2FDA9}">
      <text>
        <r>
          <rPr>
            <sz val="14"/>
            <color rgb="FF000000"/>
            <rFont val="Times New Roman"/>
            <family val="18"/>
          </rPr>
          <t>ML 10.829 Ostgalizische 1. FB (1809) – AL Nr. 79 (Kolomea 03/11/1809), ST Nov (Stanislau 03/08/1810)</t>
        </r>
        <r>
          <rPr>
            <sz val="14"/>
            <color rgb="FF000000"/>
            <rFont val="Calibri"/>
            <family val="34"/>
          </rPr>
          <t xml:space="preserve">
</t>
        </r>
        <r>
          <rPr>
            <sz val="14"/>
            <color rgb="FF000000"/>
            <rFont val="Times New Roman"/>
            <family val="18"/>
          </rPr>
          <t>ML 10.830 Ostgalizische 1. FB (1810) – ST Jan (Stanislau 03/08/1810)</t>
        </r>
        <r>
          <rPr>
            <sz val="14"/>
            <color rgb="FF000000"/>
            <rFont val="Calibri"/>
            <family val="34"/>
          </rPr>
          <t xml:space="preserve">
</t>
        </r>
      </text>
    </comment>
    <comment ref="BH38" authorId="0" shapeId="0" xr:uid="{68A358B9-FEC7-264A-9A3E-9DD7AA85BA39}">
      <text>
        <r>
          <rPr>
            <sz val="14"/>
            <color rgb="FF000000"/>
            <rFont val="Calibri"/>
            <family val="34"/>
          </rPr>
          <t>EGal FB 1 (1809)</t>
        </r>
      </text>
    </comment>
    <comment ref="BF39" authorId="0" shapeId="0" xr:uid="{86C6E2C0-7B54-9A4B-8671-E1155BC2BA15}">
      <text>
        <r>
          <rPr>
            <sz val="14"/>
            <color rgb="FF000000"/>
            <rFont val="Times New Roman"/>
            <family val="18"/>
          </rPr>
          <t xml:space="preserve">16/11/1809 </t>
        </r>
        <r>
          <rPr>
            <i/>
            <sz val="14"/>
            <color rgb="FF000000"/>
            <rFont val="Times New Roman"/>
            <family val="18"/>
          </rPr>
          <t>Von der Galizischen Fuhr- und Packwesen Einrichtungsdivision Zum 1. Ostgalizische FBat transferiert</t>
        </r>
        <r>
          <rPr>
            <sz val="14"/>
            <color rgb="FF000000"/>
            <rFont val="Times New Roman"/>
            <family val="18"/>
          </rPr>
          <t xml:space="preserve"> [ST Nov 1809]</t>
        </r>
        <r>
          <rPr>
            <sz val="14"/>
            <color rgb="FF000000"/>
            <rFont val="Calibri"/>
            <family val="34"/>
          </rPr>
          <t xml:space="preserve">
</t>
        </r>
        <r>
          <rPr>
            <sz val="14"/>
            <color rgb="FF000000"/>
            <rFont val="Times New Roman"/>
            <family val="18"/>
          </rPr>
          <t xml:space="preserve">21/11/1809 </t>
        </r>
        <r>
          <rPr>
            <i/>
            <sz val="14"/>
            <color rgb="FF000000"/>
            <rFont val="Times New Roman"/>
            <family val="18"/>
          </rPr>
          <t>Krank auswärts</t>
        </r>
        <r>
          <rPr>
            <sz val="14"/>
            <color rgb="FF000000"/>
            <rFont val="Times New Roman"/>
            <family val="18"/>
          </rPr>
          <t xml:space="preserve"> [ST Nov 1809]</t>
        </r>
        <r>
          <rPr>
            <sz val="14"/>
            <color rgb="FF000000"/>
            <rFont val="Calibri"/>
            <family val="34"/>
          </rPr>
          <t xml:space="preserve">
</t>
        </r>
        <r>
          <rPr>
            <sz val="14"/>
            <color rgb="FF000000"/>
            <rFont val="Times New Roman"/>
            <family val="18"/>
          </rPr>
          <t xml:space="preserve">05/01/1809 </t>
        </r>
        <r>
          <rPr>
            <i/>
            <sz val="14"/>
            <color rgb="FF000000"/>
            <rFont val="Times New Roman"/>
            <family val="18"/>
          </rPr>
          <t>Zur Galizische Fuhr- und Packeinrichtungsdivision transferiert</t>
        </r>
        <r>
          <rPr>
            <sz val="14"/>
            <color rgb="FF000000"/>
            <rFont val="Times New Roman"/>
            <family val="18"/>
          </rPr>
          <t xml:space="preserve"> [ST Jan 1810]</t>
        </r>
        <r>
          <rPr>
            <sz val="14"/>
            <color rgb="FF000000"/>
            <rFont val="Calibri"/>
            <family val="34"/>
          </rPr>
          <t xml:space="preserve">
</t>
        </r>
      </text>
    </comment>
    <comment ref="BG39" authorId="0" shapeId="0" xr:uid="{51801B64-21E2-5E41-B413-182D8C1A5112}">
      <text>
        <r>
          <rPr>
            <sz val="14"/>
            <color rgb="FF000000"/>
            <rFont val="Times New Roman"/>
            <family val="18"/>
          </rPr>
          <t>ML 10.829 Ostgalizische 1. FB (1809) – ST Nov (Stanislau 03/08/1810)</t>
        </r>
        <r>
          <rPr>
            <sz val="14"/>
            <color rgb="FF000000"/>
            <rFont val="Calibri"/>
            <family val="34"/>
          </rPr>
          <t xml:space="preserve">
</t>
        </r>
        <r>
          <rPr>
            <sz val="14"/>
            <color rgb="FF000000"/>
            <rFont val="Times New Roman"/>
            <family val="18"/>
          </rPr>
          <t>ML 10.830 Ostgalizische 1. FB (1809) – ST Jan (Stanislau 03/08/1810)</t>
        </r>
        <r>
          <rPr>
            <sz val="14"/>
            <color rgb="FF000000"/>
            <rFont val="Calibri"/>
            <family val="34"/>
          </rPr>
          <t xml:space="preserve">
</t>
        </r>
      </text>
    </comment>
    <comment ref="BH39" authorId="0" shapeId="0" xr:uid="{6779448E-5C98-5841-AC10-7093F197A69B}">
      <text>
        <r>
          <rPr>
            <sz val="14"/>
            <color rgb="FF000000"/>
            <rFont val="Calibri"/>
            <family val="34"/>
          </rPr>
          <t>MFWK (1809-1810)</t>
        </r>
      </text>
    </comment>
    <comment ref="BF41" authorId="0" shapeId="0" xr:uid="{27D29E57-EEF3-6C41-B2BA-B5E827AF99AD}">
      <text>
        <r>
          <rPr>
            <sz val="14"/>
            <color rgb="FF000000"/>
            <rFont val="Times New Roman"/>
            <family val="18"/>
          </rPr>
          <t xml:space="preserve">11/10/1805 </t>
        </r>
        <r>
          <rPr>
            <i/>
            <sz val="14"/>
            <color rgb="FF000000"/>
            <rFont val="Times New Roman"/>
            <family val="18"/>
          </rPr>
          <t>Auf 3 Fl Handgeld auf 10 Jahr Capitulation von Ständen gestellt</t>
        </r>
        <r>
          <rPr>
            <sz val="14"/>
            <color rgb="FF000000"/>
            <rFont val="Times New Roman"/>
            <family val="18"/>
          </rPr>
          <t xml:space="preserve"> [TL Dec 1809]</t>
        </r>
        <r>
          <rPr>
            <sz val="14"/>
            <color rgb="FF000000"/>
            <rFont val="Calibri"/>
            <family val="34"/>
          </rPr>
          <t xml:space="preserve">
</t>
        </r>
        <r>
          <rPr>
            <sz val="14"/>
            <color rgb="FF000000"/>
            <rFont val="Times New Roman"/>
            <family val="18"/>
          </rPr>
          <t xml:space="preserve">21/03/1809 </t>
        </r>
        <r>
          <rPr>
            <i/>
            <sz val="14"/>
            <color rgb="FF000000"/>
            <rFont val="Times New Roman"/>
            <family val="18"/>
          </rPr>
          <t>Von IR 24 Strauch Haupt Teitel Komp. zum Galizischen Freibataillon Nr. 2 transferiert und zum 4. Vacante Komp. eingeheilt</t>
        </r>
        <r>
          <rPr>
            <sz val="14"/>
            <color rgb="FF000000"/>
            <rFont val="Times New Roman"/>
            <family val="18"/>
          </rPr>
          <t xml:space="preserve"> [TL Dec 1809 &amp; ST March 1809]</t>
        </r>
        <r>
          <rPr>
            <sz val="14"/>
            <color rgb="FF000000"/>
            <rFont val="Calibri"/>
            <family val="34"/>
          </rPr>
          <t xml:space="preserve">
</t>
        </r>
        <r>
          <rPr>
            <sz val="14"/>
            <color rgb="FF000000"/>
            <rFont val="Times New Roman"/>
            <family val="18"/>
          </rPr>
          <t xml:space="preserve">18/04/1809 </t>
        </r>
        <r>
          <rPr>
            <i/>
            <sz val="14"/>
            <color rgb="FF000000"/>
            <rFont val="Times New Roman"/>
            <family val="18"/>
          </rPr>
          <t xml:space="preserve">Desertiert </t>
        </r>
        <r>
          <rPr>
            <sz val="14"/>
            <color rgb="FF000000"/>
            <rFont val="Times New Roman"/>
            <family val="18"/>
          </rPr>
          <t>[ST April 1809]</t>
        </r>
        <r>
          <rPr>
            <sz val="14"/>
            <color rgb="FF000000"/>
            <rFont val="Calibri"/>
            <family val="34"/>
          </rPr>
          <t xml:space="preserve">
</t>
        </r>
        <r>
          <rPr>
            <sz val="14"/>
            <color rgb="FF000000"/>
            <rFont val="Times New Roman"/>
            <family val="18"/>
          </rPr>
          <t xml:space="preserve">23/04/1809 </t>
        </r>
        <r>
          <rPr>
            <i/>
            <sz val="14"/>
            <color rgb="FF000000"/>
            <rFont val="Times New Roman"/>
            <family val="18"/>
          </rPr>
          <t>Von Militär a 8Fl Taglia attrappiert und seitdem Im Staabs-Stickhaus zu Cracau mit auswärtiger Verpflegung</t>
        </r>
        <r>
          <rPr>
            <sz val="14"/>
            <color rgb="FF000000"/>
            <rFont val="Times New Roman"/>
            <family val="18"/>
          </rPr>
          <t xml:space="preserve"> [ST April 1809]</t>
        </r>
        <r>
          <rPr>
            <sz val="14"/>
            <color rgb="FF000000"/>
            <rFont val="Calibri"/>
            <family val="34"/>
          </rPr>
          <t xml:space="preserve">
</t>
        </r>
        <r>
          <rPr>
            <sz val="14"/>
            <color rgb="FF000000"/>
            <rFont val="Times New Roman"/>
            <family val="18"/>
          </rPr>
          <t xml:space="preserve">15/05/1809 </t>
        </r>
        <r>
          <rPr>
            <i/>
            <sz val="14"/>
            <color rgb="FF000000"/>
            <rFont val="Times New Roman"/>
            <family val="18"/>
          </rPr>
          <t>Befreit</t>
        </r>
        <r>
          <rPr>
            <sz val="14"/>
            <color rgb="FF000000"/>
            <rFont val="Times New Roman"/>
            <family val="18"/>
          </rPr>
          <t xml:space="preserve"> [ST May 1809]</t>
        </r>
        <r>
          <rPr>
            <sz val="14"/>
            <color rgb="FF000000"/>
            <rFont val="Calibri"/>
            <family val="34"/>
          </rPr>
          <t xml:space="preserve">
</t>
        </r>
        <r>
          <rPr>
            <sz val="14"/>
            <color rgb="FF000000"/>
            <rFont val="Times New Roman"/>
            <family val="18"/>
          </rPr>
          <t xml:space="preserve">21/06/1809 </t>
        </r>
        <r>
          <rPr>
            <i/>
            <sz val="14"/>
            <color rgb="FF000000"/>
            <rFont val="Times New Roman"/>
            <family val="18"/>
          </rPr>
          <t>Desertuert</t>
        </r>
        <r>
          <rPr>
            <sz val="14"/>
            <color rgb="FF000000"/>
            <rFont val="Times New Roman"/>
            <family val="18"/>
          </rPr>
          <t xml:space="preserve"> [ST June 1809] </t>
        </r>
      </text>
    </comment>
    <comment ref="BG41" authorId="0" shapeId="0" xr:uid="{3C5DF2DD-C387-2347-B4D2-A687A12B95E8}">
      <text>
        <r>
          <rPr>
            <sz val="14"/>
            <color rgb="FF000000"/>
            <rFont val="Times New Roman"/>
            <family val="18"/>
          </rPr>
          <t>ML 10.831 WGal FB 2 (1809-10) – TL IR 24-&gt; WGal FB 2 Nr. 47 (Csakowar 30/11/1809), ST March (Braddczy bei Caschau 10/08/1809), ST April (Politzka 13/07/1810), ST May (Tischmanitz 10/10/1810), ST June (Brünn 15/11/1810)</t>
        </r>
        <r>
          <rPr>
            <sz val="14"/>
            <color rgb="FF000000"/>
            <rFont val="Calibri"/>
            <family val="34"/>
          </rPr>
          <t xml:space="preserve">
</t>
        </r>
      </text>
    </comment>
    <comment ref="BH41" authorId="0" shapeId="0" xr:uid="{DCCDA6E8-ED65-214C-95DC-BE5AF892B1F8}">
      <text>
        <r>
          <rPr>
            <sz val="14"/>
            <color rgb="FF000000"/>
            <rFont val="Calibri"/>
            <family val="34"/>
          </rPr>
          <t xml:space="preserve">IR 24 (1805-1809)
</t>
        </r>
        <r>
          <rPr>
            <sz val="14"/>
            <color rgb="FF000000"/>
            <rFont val="Calibri"/>
            <family val="34"/>
          </rPr>
          <t>WGal FB 2 (1809)</t>
        </r>
      </text>
    </comment>
    <comment ref="BF42" authorId="0" shapeId="0" xr:uid="{D225C8D9-9BA1-1E42-A2A8-DC84CDFEBE29}">
      <text>
        <r>
          <rPr>
            <sz val="14"/>
            <color rgb="FFFF0000"/>
            <rFont val="Times New Roman"/>
            <family val="18"/>
          </rPr>
          <t xml:space="preserve">23/08/1808 </t>
        </r>
        <r>
          <rPr>
            <i/>
            <sz val="14"/>
            <color rgb="FFFF0000"/>
            <rFont val="Times New Roman"/>
            <family val="18"/>
          </rPr>
          <t>A 20Fl Werbgeld nach 6 Jahre assentiert</t>
        </r>
        <r>
          <rPr>
            <sz val="14"/>
            <color rgb="FFFF0000"/>
            <rFont val="Times New Roman"/>
            <family val="18"/>
          </rPr>
          <t xml:space="preserve"> [TL Jan 1810 &amp; ML 1811]</t>
        </r>
        <r>
          <rPr>
            <sz val="14"/>
            <color rgb="FF000000"/>
            <rFont val="Calibri"/>
            <family val="34"/>
          </rPr>
          <t xml:space="preserve">
</t>
        </r>
        <r>
          <rPr>
            <sz val="14"/>
            <color rgb="FFFF0000"/>
            <rFont val="Times New Roman"/>
            <family val="18"/>
          </rPr>
          <t xml:space="preserve">02/10/1808 </t>
        </r>
        <r>
          <rPr>
            <i/>
            <sz val="14"/>
            <color rgb="FFFF0000"/>
            <rFont val="Times New Roman"/>
            <family val="18"/>
          </rPr>
          <t>Von galizischen Ständen Gestellt</t>
        </r>
        <r>
          <rPr>
            <sz val="14"/>
            <color rgb="FFFF0000"/>
            <rFont val="Times New Roman"/>
            <family val="18"/>
          </rPr>
          <t xml:space="preserve"> [TL Dec 1809]</t>
        </r>
        <r>
          <rPr>
            <sz val="14"/>
            <color rgb="FF000000"/>
            <rFont val="Calibri"/>
            <family val="34"/>
          </rPr>
          <t xml:space="preserve">
</t>
        </r>
        <r>
          <rPr>
            <sz val="14"/>
            <color rgb="FF000000"/>
            <rFont val="Times New Roman"/>
            <family val="18"/>
          </rPr>
          <t xml:space="preserve">12/10/1808 </t>
        </r>
        <r>
          <rPr>
            <i/>
            <sz val="14"/>
            <color rgb="FF000000"/>
            <rFont val="Times New Roman"/>
            <family val="18"/>
          </rPr>
          <t>Von 1. Reserve Bataillon ex officio gegen 2Fl Handgeld und 10 Jähriger Capitulation zum IR 24 gestellt und Haupt Conrad Komp. zugeteilt</t>
        </r>
        <r>
          <rPr>
            <sz val="14"/>
            <color rgb="FF000000"/>
            <rFont val="Times New Roman"/>
            <family val="18"/>
          </rPr>
          <t xml:space="preserve"> [AL ]</t>
        </r>
        <r>
          <rPr>
            <sz val="14"/>
            <color rgb="FF000000"/>
            <rFont val="Calibri"/>
            <family val="34"/>
          </rPr>
          <t xml:space="preserve">
</t>
        </r>
        <r>
          <rPr>
            <sz val="14"/>
            <color rgb="FF000000"/>
            <rFont val="Times New Roman"/>
            <family val="18"/>
          </rPr>
          <t xml:space="preserve">21/03/1809 </t>
        </r>
        <r>
          <rPr>
            <i/>
            <sz val="14"/>
            <color rgb="FF000000"/>
            <rFont val="Times New Roman"/>
            <family val="18"/>
          </rPr>
          <t>Von IR 24 Strauch Haupt Jager Komp.  zum Galizischen Freibataillon Nr. 2 transferiert und zum 3. Kompanie von Haupt Carl St. Delis eingeheilt</t>
        </r>
        <r>
          <rPr>
            <sz val="14"/>
            <color rgb="FF000000"/>
            <rFont val="Times New Roman"/>
            <family val="18"/>
          </rPr>
          <t xml:space="preserve"> [TL Dec 1809 &amp; ST March 1809]</t>
        </r>
        <r>
          <rPr>
            <sz val="14"/>
            <color rgb="FF000000"/>
            <rFont val="Calibri"/>
            <family val="34"/>
          </rPr>
          <t xml:space="preserve">
</t>
        </r>
        <r>
          <rPr>
            <sz val="14"/>
            <color rgb="FF000000"/>
            <rFont val="Times New Roman"/>
            <family val="18"/>
          </rPr>
          <t xml:space="preserve">01/07/1809 </t>
        </r>
        <r>
          <rPr>
            <i/>
            <sz val="14"/>
            <color rgb="FF000000"/>
            <rFont val="Times New Roman"/>
            <family val="18"/>
          </rPr>
          <t>Von 2. Komp zum 6. Jetzt 2. Komp</t>
        </r>
        <r>
          <rPr>
            <sz val="14"/>
            <color rgb="FF000000"/>
            <rFont val="Times New Roman"/>
            <family val="18"/>
          </rPr>
          <t xml:space="preserve"> [Haupt Sedlitz] </t>
        </r>
        <r>
          <rPr>
            <i/>
            <sz val="14"/>
            <color rgb="FF000000"/>
            <rFont val="Times New Roman"/>
            <family val="18"/>
          </rPr>
          <t xml:space="preserve">transferiert </t>
        </r>
        <r>
          <rPr>
            <sz val="14"/>
            <color rgb="FF000000"/>
            <rFont val="Times New Roman"/>
            <family val="18"/>
          </rPr>
          <t>[ST July 1809]</t>
        </r>
        <r>
          <rPr>
            <sz val="14"/>
            <color rgb="FF000000"/>
            <rFont val="Calibri"/>
            <family val="34"/>
          </rPr>
          <t xml:space="preserve">
</t>
        </r>
        <r>
          <rPr>
            <sz val="14"/>
            <color rgb="FF000000"/>
            <rFont val="Times New Roman"/>
            <family val="18"/>
          </rPr>
          <t xml:space="preserve">01/09/1809 </t>
        </r>
        <r>
          <rPr>
            <i/>
            <sz val="14"/>
            <color rgb="FF000000"/>
            <rFont val="Times New Roman"/>
            <family val="18"/>
          </rPr>
          <t>Zum Gefreyter avanciert</t>
        </r>
        <r>
          <rPr>
            <sz val="14"/>
            <color rgb="FF000000"/>
            <rFont val="Times New Roman"/>
            <family val="18"/>
          </rPr>
          <t xml:space="preserve"> [TL Jan 1810 &amp; ST Sept 1809]</t>
        </r>
        <r>
          <rPr>
            <sz val="14"/>
            <color rgb="FF000000"/>
            <rFont val="Calibri"/>
            <family val="34"/>
          </rPr>
          <t xml:space="preserve">
</t>
        </r>
        <r>
          <rPr>
            <sz val="14"/>
            <color rgb="FF000000"/>
            <rFont val="Times New Roman"/>
            <family val="18"/>
          </rPr>
          <t xml:space="preserve">01/01/1810 </t>
        </r>
        <r>
          <rPr>
            <i/>
            <sz val="14"/>
            <color rgb="FF000000"/>
            <rFont val="Times New Roman"/>
            <family val="18"/>
          </rPr>
          <t>Auf Odnanz mit Fliesch Equivalent</t>
        </r>
        <r>
          <rPr>
            <sz val="14"/>
            <color rgb="FF000000"/>
            <rFont val="Times New Roman"/>
            <family val="18"/>
          </rPr>
          <t xml:space="preserve"> a 8 4/8Xr [ST Jan 1810]</t>
        </r>
        <r>
          <rPr>
            <sz val="14"/>
            <color rgb="FF000000"/>
            <rFont val="Calibri"/>
            <family val="34"/>
          </rPr>
          <t xml:space="preserve">
</t>
        </r>
        <r>
          <rPr>
            <sz val="14"/>
            <color rgb="FF000000"/>
            <rFont val="Times New Roman"/>
            <family val="18"/>
          </rPr>
          <t>06/01/1810</t>
        </r>
        <r>
          <rPr>
            <i/>
            <sz val="14"/>
            <color rgb="FF000000"/>
            <rFont val="Times New Roman"/>
            <family val="18"/>
          </rPr>
          <t xml:space="preserve"> Wieder zurück in Kompanie</t>
        </r>
        <r>
          <rPr>
            <sz val="14"/>
            <color rgb="FF000000"/>
            <rFont val="Times New Roman"/>
            <family val="18"/>
          </rPr>
          <t xml:space="preserve"> [ST Jan 1810]</t>
        </r>
        <r>
          <rPr>
            <sz val="14"/>
            <color rgb="FF000000"/>
            <rFont val="Calibri"/>
            <family val="34"/>
          </rPr>
          <t xml:space="preserve">
</t>
        </r>
        <r>
          <rPr>
            <sz val="14"/>
            <color rgb="FF000000"/>
            <rFont val="Times New Roman"/>
            <family val="18"/>
          </rPr>
          <t xml:space="preserve">20/01/1810 </t>
        </r>
        <r>
          <rPr>
            <i/>
            <sz val="14"/>
            <color rgb="FF000000"/>
            <rFont val="Times New Roman"/>
            <family val="18"/>
          </rPr>
          <t>Von dissolvierte Galizischen Freibataillon Nr. 2 2. Kompanie zum IR 24 ‚Strauch‘ transferiert</t>
        </r>
        <r>
          <rPr>
            <sz val="14"/>
            <color rgb="FF000000"/>
            <rFont val="Times New Roman"/>
            <family val="18"/>
          </rPr>
          <t xml:space="preserve"> [TL 1810]</t>
        </r>
        <r>
          <rPr>
            <sz val="14"/>
            <color rgb="FF000000"/>
            <rFont val="Calibri"/>
            <family val="34"/>
          </rPr>
          <t xml:space="preserve">
</t>
        </r>
        <r>
          <rPr>
            <sz val="14"/>
            <color rgb="FF000000"/>
            <rFont val="Times New Roman"/>
            <family val="18"/>
          </rPr>
          <t>23/09/1811 Musterung: IR 24 15. Fus. Komp. Nr. 19 [</t>
        </r>
        <r>
          <rPr>
            <i/>
            <sz val="14"/>
            <color rgb="FF000000"/>
            <rFont val="Times New Roman"/>
            <family val="18"/>
          </rPr>
          <t>Beurlaubt bis Einberufung</t>
        </r>
        <r>
          <rPr>
            <sz val="14"/>
            <color rgb="FF000000"/>
            <rFont val="Times New Roman"/>
            <family val="18"/>
          </rPr>
          <t>]</t>
        </r>
        <r>
          <rPr>
            <sz val="14"/>
            <color rgb="FF000000"/>
            <rFont val="Calibri"/>
            <family val="34"/>
          </rPr>
          <t xml:space="preserve">
</t>
        </r>
        <r>
          <rPr>
            <sz val="14"/>
            <color rgb="FF000000"/>
            <rFont val="Times New Roman"/>
            <family val="18"/>
          </rPr>
          <t>25/09/1812 Revision: IR 24 15. Fus. Komp. Nr. 31 [</t>
        </r>
        <r>
          <rPr>
            <i/>
            <sz val="14"/>
            <color rgb="FF000000"/>
            <rFont val="Times New Roman"/>
            <family val="18"/>
          </rPr>
          <t>Bis zur Einberufung Beurlaubt</t>
        </r>
        <r>
          <rPr>
            <sz val="14"/>
            <color rgb="FF000000"/>
            <rFont val="Times New Roman"/>
            <family val="18"/>
          </rPr>
          <t>]</t>
        </r>
        <r>
          <rPr>
            <sz val="14"/>
            <color rgb="FF000000"/>
            <rFont val="Calibri"/>
            <family val="34"/>
          </rPr>
          <t xml:space="preserve">
</t>
        </r>
        <r>
          <rPr>
            <sz val="14"/>
            <color rgb="FF000000"/>
            <rFont val="Times New Roman"/>
            <family val="18"/>
          </rPr>
          <t xml:space="preserve">31/10/1812 </t>
        </r>
        <r>
          <rPr>
            <i/>
            <sz val="14"/>
            <color rgb="FF000000"/>
            <rFont val="Times New Roman"/>
            <family val="18"/>
          </rPr>
          <t>Nach Angaben der Dominio Wahrend Urlaub desertiert</t>
        </r>
        <r>
          <rPr>
            <sz val="14"/>
            <color rgb="FF000000"/>
            <rFont val="Times New Roman"/>
            <family val="18"/>
          </rPr>
          <t xml:space="preserve"> [ST Oct 1812]</t>
        </r>
      </text>
    </comment>
    <comment ref="BG42" authorId="0" shapeId="0" xr:uid="{61758F89-A7C0-1A46-B6EB-6ED0464F99DC}">
      <text>
        <r>
          <rPr>
            <sz val="14"/>
            <color rgb="FF000000"/>
            <rFont val="Times New Roman"/>
            <family val="18"/>
          </rPr>
          <t>ML 1942 IR 24 (1811) – 15. Fus. Komp. Nr. 19 (Motsan 23/09/1811)</t>
        </r>
        <r>
          <rPr>
            <sz val="14"/>
            <color rgb="FF000000"/>
            <rFont val="Calibri"/>
            <family val="34"/>
          </rPr>
          <t xml:space="preserve">
</t>
        </r>
        <r>
          <rPr>
            <sz val="14"/>
            <color rgb="FF000000"/>
            <rFont val="Times New Roman"/>
            <family val="18"/>
          </rPr>
          <t>ML 1943 IR 24 (1812) – 15. Fus. Komp. Nr. 31 (Pizczan 25/09/1812)</t>
        </r>
        <r>
          <rPr>
            <sz val="14"/>
            <color rgb="FF000000"/>
            <rFont val="Calibri"/>
            <family val="34"/>
          </rPr>
          <t xml:space="preserve">
</t>
        </r>
        <r>
          <rPr>
            <sz val="14"/>
            <color rgb="FF000000"/>
            <rFont val="Times New Roman"/>
            <family val="18"/>
          </rPr>
          <t>ML 1997 IR 24 (1808) AL/TL VII-XII – AL Nr. 90 (Zloczow 12/10/1808)</t>
        </r>
        <r>
          <rPr>
            <sz val="14"/>
            <color rgb="FF000000"/>
            <rFont val="Calibri"/>
            <family val="34"/>
          </rPr>
          <t xml:space="preserve">
</t>
        </r>
        <r>
          <rPr>
            <sz val="14"/>
            <color rgb="FF000000"/>
            <rFont val="Times New Roman"/>
            <family val="18"/>
          </rPr>
          <t>ML 2004 IR 24 (1812) – ST Sept (Lemberg 23/10/1813)</t>
        </r>
        <r>
          <rPr>
            <sz val="14"/>
            <color rgb="FF000000"/>
            <rFont val="Calibri"/>
            <family val="34"/>
          </rPr>
          <t xml:space="preserve">
</t>
        </r>
        <r>
          <rPr>
            <sz val="14"/>
            <color rgb="FF000000"/>
            <rFont val="Times New Roman"/>
            <family val="18"/>
          </rPr>
          <t xml:space="preserve">ML 10.831 WGal FB 2 (1809-10) – TL IR 24-&gt; WGal FB 2 Nr. 21 (Csakowar 30/11/1809) &amp; TL WGal FB 2-&gt; IR 24 Nr. 60 </t>
        </r>
        <r>
          <rPr>
            <sz val="14"/>
            <color rgb="FF000000"/>
            <rFont val="Times New Roman"/>
            <family val="18"/>
          </rPr>
          <t>(Leitmoschil 20/01/1810), ST March (Braddczy bei Caschau 10/08/1809), ST July (Brünn 20/12/1810), ST Sept (Brünn 10/01/1811), ST 1810 Jan (Tichnowitz 03/03/1811)</t>
        </r>
      </text>
    </comment>
    <comment ref="BH42" authorId="0" shapeId="0" xr:uid="{1ECAB885-E87C-734D-8873-A435FA2C98B6}">
      <text>
        <r>
          <rPr>
            <sz val="14"/>
            <color rgb="FF000000"/>
            <rFont val="Calibri"/>
            <family val="34"/>
          </rPr>
          <t xml:space="preserve">IR 24 (1808-1809)
</t>
        </r>
        <r>
          <rPr>
            <sz val="14"/>
            <color rgb="FF000000"/>
            <rFont val="Calibri"/>
            <family val="34"/>
          </rPr>
          <t xml:space="preserve">WGal FB 2 (1809-1810)
</t>
        </r>
        <r>
          <rPr>
            <sz val="14"/>
            <color rgb="FF000000"/>
            <rFont val="Calibri"/>
            <family val="34"/>
          </rPr>
          <t>IR 24 (1810-1812)</t>
        </r>
      </text>
    </comment>
    <comment ref="BF43" authorId="0" shapeId="0" xr:uid="{5611AA48-227B-A247-8881-33E092279897}">
      <text>
        <r>
          <rPr>
            <sz val="14"/>
            <color rgb="FF000000"/>
            <rFont val="Times New Roman"/>
            <family val="18"/>
          </rPr>
          <t xml:space="preserve">11/09/1805 </t>
        </r>
        <r>
          <rPr>
            <i/>
            <sz val="14"/>
            <color rgb="FF000000"/>
            <rFont val="Times New Roman"/>
            <family val="18"/>
          </rPr>
          <t>Auf 3 Fl Handgeld und 10-jähriger Capitulation von Ständen gestellt</t>
        </r>
        <r>
          <rPr>
            <sz val="14"/>
            <color rgb="FF000000"/>
            <rFont val="Times New Roman"/>
            <family val="18"/>
          </rPr>
          <t xml:space="preserve"> [TL Dec 1809]</t>
        </r>
        <r>
          <rPr>
            <sz val="14"/>
            <color rgb="FF000000"/>
            <rFont val="Aptos"/>
            <family val="34"/>
          </rPr>
          <t xml:space="preserve">
</t>
        </r>
        <r>
          <rPr>
            <sz val="14"/>
            <color rgb="FF000000"/>
            <rFont val="Times New Roman"/>
            <family val="18"/>
          </rPr>
          <t xml:space="preserve">21/03/1809 </t>
        </r>
        <r>
          <rPr>
            <i/>
            <sz val="14"/>
            <color rgb="FF000000"/>
            <rFont val="Times New Roman"/>
            <family val="18"/>
          </rPr>
          <t>Von IR 24 Strauch Haupt Jager Komp. zum Galizischen Freibataillon Nr. 2 transferiert und zum 4. Vacante Kompanie eingeteilt</t>
        </r>
        <r>
          <rPr>
            <sz val="14"/>
            <color rgb="FF000000"/>
            <rFont val="Times New Roman"/>
            <family val="18"/>
          </rPr>
          <t xml:space="preserve"> [TL Dec 1809]</t>
        </r>
        <r>
          <rPr>
            <sz val="14"/>
            <color rgb="FF000000"/>
            <rFont val="Aptos"/>
            <family val="34"/>
          </rPr>
          <t xml:space="preserve">
</t>
        </r>
        <r>
          <rPr>
            <sz val="14"/>
            <color rgb="FF000000"/>
            <rFont val="Times New Roman"/>
            <family val="18"/>
          </rPr>
          <t xml:space="preserve">01/07/1809 </t>
        </r>
        <r>
          <rPr>
            <i/>
            <sz val="14"/>
            <color rgb="FF000000"/>
            <rFont val="Times New Roman"/>
            <family val="18"/>
          </rPr>
          <t>Zum Gefreyter avanciert</t>
        </r>
        <r>
          <rPr>
            <sz val="14"/>
            <color rgb="FF000000"/>
            <rFont val="Times New Roman"/>
            <family val="18"/>
          </rPr>
          <t xml:space="preserve"> [TL Jan 1810 &amp; ST July 1809]</t>
        </r>
        <r>
          <rPr>
            <sz val="14"/>
            <color rgb="FF000000"/>
            <rFont val="Aptos"/>
            <family val="34"/>
          </rPr>
          <t xml:space="preserve">
</t>
        </r>
        <r>
          <rPr>
            <sz val="14"/>
            <color rgb="FF000000"/>
            <rFont val="Times New Roman"/>
            <family val="18"/>
          </rPr>
          <t xml:space="preserve">20/01/1810 </t>
        </r>
        <r>
          <rPr>
            <i/>
            <sz val="14"/>
            <color rgb="FF000000"/>
            <rFont val="Times New Roman"/>
            <family val="18"/>
          </rPr>
          <t>Von dissolvierte Galizischen Freibataillon Nr. 2 3. Kompanie zum IR 24 transferiert und zum 16. Fus. Komp. zugeteilt</t>
        </r>
        <r>
          <rPr>
            <sz val="14"/>
            <color rgb="FF000000"/>
            <rFont val="Times New Roman"/>
            <family val="18"/>
          </rPr>
          <t xml:space="preserve"> [TL 1810 &amp; ST Jan 1810]</t>
        </r>
        <r>
          <rPr>
            <sz val="14"/>
            <color rgb="FF000000"/>
            <rFont val="Aptos"/>
            <family val="34"/>
          </rPr>
          <t xml:space="preserve">
</t>
        </r>
        <r>
          <rPr>
            <sz val="14"/>
            <color rgb="FF000000"/>
            <rFont val="Times New Roman"/>
            <family val="18"/>
          </rPr>
          <t xml:space="preserve">31/01/1810 </t>
        </r>
        <r>
          <rPr>
            <i/>
            <sz val="14"/>
            <color rgb="FF000000"/>
            <rFont val="Times New Roman"/>
            <family val="18"/>
          </rPr>
          <t>Auf dem Marsch Station Dorf Komorowitz desertiert</t>
        </r>
        <r>
          <rPr>
            <sz val="14"/>
            <color rgb="FF000000"/>
            <rFont val="Times New Roman"/>
            <family val="18"/>
          </rPr>
          <t xml:space="preserve"> [TL Jan 1810 &amp; ST March 1810]</t>
        </r>
      </text>
    </comment>
    <comment ref="BG43" authorId="0" shapeId="0" xr:uid="{7E6EEFE7-BDBB-7448-8649-B31C9D9ED112}">
      <text>
        <r>
          <rPr>
            <sz val="14"/>
            <color rgb="FF000000"/>
            <rFont val="Times New Roman"/>
            <family val="18"/>
          </rPr>
          <t>ML 2000 IR 24 (1810) – ST March (22/04/1812)</t>
        </r>
        <r>
          <rPr>
            <sz val="14"/>
            <color rgb="FF000000"/>
            <rFont val="Aptos"/>
            <family val="34"/>
          </rPr>
          <t xml:space="preserve">
</t>
        </r>
        <r>
          <rPr>
            <sz val="14"/>
            <color rgb="FF000000"/>
            <rFont val="Times New Roman"/>
            <family val="18"/>
          </rPr>
          <t xml:space="preserve">ML 10.831 WGal FB 2 (1809-10) – TL IR 24-&gt; WGal FB 2 Nr. 68 (Csakowar 02/12/1809),TL WGal FB 2-&gt; IR 24 Nr. 68 (Leitmoschil 20/01/1810), </t>
        </r>
        <r>
          <rPr>
            <sz val="14"/>
            <color rgb="FF000000"/>
            <rFont val="Times New Roman"/>
            <family val="18"/>
          </rPr>
          <t>ST March (Braddczy bei Caschau 10/08/1809), ST July (Brünn 20/12/1810), ST 1810 Jan (Tichnowitz 03/03/1811)</t>
        </r>
        <r>
          <rPr>
            <sz val="14"/>
            <color rgb="FF000000"/>
            <rFont val="Aptos"/>
            <family val="34"/>
          </rPr>
          <t xml:space="preserve">
</t>
        </r>
      </text>
    </comment>
    <comment ref="BH43" authorId="0" shapeId="0" xr:uid="{BBFCD800-D9EB-BD4B-9B06-BC236156BE47}">
      <text>
        <r>
          <rPr>
            <sz val="14"/>
            <color rgb="FF000000"/>
            <rFont val="Calibri"/>
            <family val="34"/>
          </rPr>
          <t xml:space="preserve">IR 24 (1805-1809)
</t>
        </r>
        <r>
          <rPr>
            <sz val="14"/>
            <color rgb="FF000000"/>
            <rFont val="Calibri"/>
            <family val="34"/>
          </rPr>
          <t xml:space="preserve">WGal FB 2 (1809-1810)
</t>
        </r>
        <r>
          <rPr>
            <sz val="14"/>
            <color rgb="FF000000"/>
            <rFont val="Calibri"/>
            <family val="34"/>
          </rPr>
          <t>IR 24 (1810)</t>
        </r>
      </text>
    </comment>
    <comment ref="BF44" authorId="0" shapeId="0" xr:uid="{756B27D4-37FF-2445-A2B0-78EA94BB4D84}">
      <text>
        <r>
          <rPr>
            <sz val="14"/>
            <color rgb="FF000000"/>
            <rFont val="Times New Roman"/>
            <family val="18"/>
          </rPr>
          <t xml:space="preserve">15/11/1805 </t>
        </r>
        <r>
          <rPr>
            <i/>
            <sz val="14"/>
            <color rgb="FF000000"/>
            <rFont val="Times New Roman"/>
            <family val="18"/>
          </rPr>
          <t>Auf 3 Fl Handgeld auf 10 Jahr Capitulation von galizischen Ständen gestellt</t>
        </r>
        <r>
          <rPr>
            <sz val="14"/>
            <color rgb="FF000000"/>
            <rFont val="Times New Roman"/>
            <family val="18"/>
          </rPr>
          <t xml:space="preserve"> [TL Dec 1809]</t>
        </r>
        <r>
          <rPr>
            <sz val="14"/>
            <color rgb="FF000000"/>
            <rFont val="Aptos"/>
            <family val="34"/>
          </rPr>
          <t xml:space="preserve">
</t>
        </r>
        <r>
          <rPr>
            <sz val="14"/>
            <color rgb="FF000000"/>
            <rFont val="Times New Roman"/>
            <family val="18"/>
          </rPr>
          <t xml:space="preserve">21/03/1809 </t>
        </r>
        <r>
          <rPr>
            <i/>
            <sz val="14"/>
            <color rgb="FF000000"/>
            <rFont val="Times New Roman"/>
            <family val="18"/>
          </rPr>
          <t>Von IR 24 Strauch Haupt Genz Komp. zum Galizischen Freibataillon Nr. 2 transferiert und zum 1. Komp. von CaptLt Brandstein eingeheilt</t>
        </r>
        <r>
          <rPr>
            <sz val="14"/>
            <color rgb="FF000000"/>
            <rFont val="Times New Roman"/>
            <family val="18"/>
          </rPr>
          <t xml:space="preserve"> [ST March 1809 &amp; TL Dec 1809]</t>
        </r>
        <r>
          <rPr>
            <sz val="14"/>
            <color rgb="FF000000"/>
            <rFont val="Aptos"/>
            <family val="34"/>
          </rPr>
          <t xml:space="preserve">
</t>
        </r>
        <r>
          <rPr>
            <sz val="14"/>
            <color rgb="FF000000"/>
            <rFont val="Times New Roman"/>
            <family val="18"/>
          </rPr>
          <t xml:space="preserve">06/07/1809 </t>
        </r>
        <r>
          <rPr>
            <i/>
            <sz val="14"/>
            <color rgb="FF000000"/>
            <rFont val="Times New Roman"/>
            <family val="18"/>
          </rPr>
          <t>Zum Gefreyter avanciert</t>
        </r>
        <r>
          <rPr>
            <sz val="14"/>
            <color rgb="FF000000"/>
            <rFont val="Times New Roman"/>
            <family val="18"/>
          </rPr>
          <t xml:space="preserve"> [TL Jan 1810 &amp; ST July 1809]</t>
        </r>
        <r>
          <rPr>
            <sz val="14"/>
            <color rgb="FF000000"/>
            <rFont val="Aptos"/>
            <family val="34"/>
          </rPr>
          <t xml:space="preserve">
</t>
        </r>
        <r>
          <rPr>
            <sz val="14"/>
            <color rgb="FF000000"/>
            <rFont val="Times New Roman"/>
            <family val="18"/>
          </rPr>
          <t xml:space="preserve">21/01/1810 </t>
        </r>
        <r>
          <rPr>
            <i/>
            <sz val="14"/>
            <color rgb="FF000000"/>
            <rFont val="Times New Roman"/>
            <family val="18"/>
          </rPr>
          <t>Von dissolvierte Galizischen Freibataillon Nr. 2 1. Kompanie zum IR 24 ‚Strauch‘ zurück transferiert seitdem auf Anhero Marsch</t>
        </r>
        <r>
          <rPr>
            <sz val="14"/>
            <color rgb="FF000000"/>
            <rFont val="Times New Roman"/>
            <family val="18"/>
          </rPr>
          <t xml:space="preserve"> [TL 1810 &amp; ST Jan 1810]</t>
        </r>
        <r>
          <rPr>
            <sz val="14"/>
            <color rgb="FF000000"/>
            <rFont val="Aptos"/>
            <family val="34"/>
          </rPr>
          <t xml:space="preserve">
</t>
        </r>
        <r>
          <rPr>
            <sz val="14"/>
            <color rgb="FF000000"/>
            <rFont val="Times New Roman"/>
            <family val="18"/>
          </rPr>
          <t xml:space="preserve">06/03/1810 </t>
        </r>
        <r>
          <rPr>
            <i/>
            <sz val="14"/>
            <color rgb="FF000000"/>
            <rFont val="Times New Roman"/>
            <family val="18"/>
          </rPr>
          <t xml:space="preserve">In Regiment eigeruckt und zum 5. Fus. Komp. </t>
        </r>
        <r>
          <rPr>
            <sz val="14"/>
            <color rgb="FF000000"/>
            <rFont val="Times New Roman"/>
            <family val="18"/>
          </rPr>
          <t xml:space="preserve">[Haupt Penz] </t>
        </r>
        <r>
          <rPr>
            <i/>
            <sz val="14"/>
            <color rgb="FF000000"/>
            <rFont val="Times New Roman"/>
            <family val="18"/>
          </rPr>
          <t>zugeteilt</t>
        </r>
        <r>
          <rPr>
            <sz val="14"/>
            <color rgb="FF000000"/>
            <rFont val="Times New Roman"/>
            <family val="18"/>
          </rPr>
          <t xml:space="preserve"> [ST March 1810]</t>
        </r>
        <r>
          <rPr>
            <sz val="14"/>
            <color rgb="FF000000"/>
            <rFont val="Aptos"/>
            <family val="34"/>
          </rPr>
          <t xml:space="preserve">
</t>
        </r>
        <r>
          <rPr>
            <sz val="14"/>
            <color rgb="FF000000"/>
            <rFont val="Times New Roman"/>
            <family val="18"/>
          </rPr>
          <t xml:space="preserve">31/08/1810 </t>
        </r>
        <r>
          <rPr>
            <i/>
            <sz val="14"/>
            <color rgb="FF000000"/>
            <rFont val="Times New Roman"/>
            <family val="18"/>
          </rPr>
          <t>Vermog hohen General Commando Verordnung ddo. Ofen am 29. May Litt R 8074 als von galizischen Standen gestellt unentgeltlich gegen Renuncierung auf Alle Militär Beneficien mit Abschied entlassen</t>
        </r>
        <r>
          <rPr>
            <sz val="14"/>
            <color rgb="FF000000"/>
            <rFont val="Times New Roman"/>
            <family val="18"/>
          </rPr>
          <t xml:space="preserve"> [ST Aug 1810]</t>
        </r>
      </text>
    </comment>
    <comment ref="BG44" authorId="0" shapeId="0" xr:uid="{E648F156-C1D1-FD4A-8559-D6C363C4980E}">
      <text>
        <r>
          <rPr>
            <sz val="14"/>
            <color rgb="FF000000"/>
            <rFont val="Times New Roman"/>
            <family val="18"/>
          </rPr>
          <t xml:space="preserve">ML 10.831 WGal FB 2 (1809-10) – TL IR 24-&gt; WGal FB 2 Nr. 37 (Csakowar 30/11/1809) &amp; TL WGal FB 2-&gt; IR 24 Nr. 12 </t>
        </r>
        <r>
          <rPr>
            <sz val="14"/>
            <color rgb="FF000000"/>
            <rFont val="Times New Roman"/>
            <family val="18"/>
          </rPr>
          <t>(Leitmoschil 20/01/1810), ST March (Braddczy bei Caschau 10/08/1809), ST July (Brünn 20/12/1810), ST 1810 Jan (Tichnowitz 03/03/1811)</t>
        </r>
        <r>
          <rPr>
            <sz val="14"/>
            <color rgb="FF000000"/>
            <rFont val="Aptos"/>
            <family val="34"/>
          </rPr>
          <t xml:space="preserve">
</t>
        </r>
        <r>
          <rPr>
            <sz val="14"/>
            <color rgb="FF000000"/>
            <rFont val="Times New Roman"/>
            <family val="18"/>
          </rPr>
          <t>ML 2000 IR 24 (1810) – ST March (22/04/1812), Aug (Dabraczan 02/07/1812)</t>
        </r>
        <r>
          <rPr>
            <sz val="14"/>
            <color rgb="FF000000"/>
            <rFont val="Aptos"/>
            <family val="34"/>
          </rPr>
          <t xml:space="preserve">
</t>
        </r>
      </text>
    </comment>
    <comment ref="BH44" authorId="0" shapeId="0" xr:uid="{9886CBF8-9AAE-F841-AF3F-E0595FE276CC}">
      <text>
        <r>
          <rPr>
            <sz val="14"/>
            <color rgb="FF000000"/>
            <rFont val="Calibri"/>
            <family val="34"/>
          </rPr>
          <t xml:space="preserve">IR 24 (1805-1809)
</t>
        </r>
        <r>
          <rPr>
            <sz val="14"/>
            <color rgb="FF000000"/>
            <rFont val="Calibri"/>
            <family val="34"/>
          </rPr>
          <t xml:space="preserve">WGal FB 2 (1809-1810)
</t>
        </r>
        <r>
          <rPr>
            <sz val="14"/>
            <color rgb="FF000000"/>
            <rFont val="Calibri"/>
            <family val="34"/>
          </rPr>
          <t>IR 24 (1810)</t>
        </r>
      </text>
    </comment>
    <comment ref="BF45" authorId="0" shapeId="0" xr:uid="{C14FD708-C4DF-4446-85C4-474945FBF989}">
      <text>
        <r>
          <rPr>
            <sz val="14"/>
            <color rgb="FF000000"/>
            <rFont val="Times New Roman"/>
            <family val="18"/>
          </rPr>
          <t>22/04/1809</t>
        </r>
        <r>
          <rPr>
            <i/>
            <sz val="14"/>
            <color rgb="FF000000"/>
            <rFont val="Times New Roman"/>
            <family val="18"/>
          </rPr>
          <t xml:space="preserve"> Zum Westgalizischen Frei Bat. Nr. 2 auf Werbgeld von 15Fl </t>
        </r>
        <r>
          <rPr>
            <sz val="14"/>
            <color rgb="FF000000"/>
            <rFont val="Times New Roman"/>
            <family val="18"/>
          </rPr>
          <t xml:space="preserve">[davon 8 Handgeld, 5 sonstige Unkosten und 2. Anbringsgeld] </t>
        </r>
        <r>
          <rPr>
            <i/>
            <sz val="14"/>
            <color rgb="FF000000"/>
            <rFont val="Times New Roman"/>
            <family val="18"/>
          </rPr>
          <t xml:space="preserve">auf Kriegsdauer assentiert und zum 4. Komp. eingeheilt </t>
        </r>
        <r>
          <rPr>
            <sz val="14"/>
            <color rgb="FF000000"/>
            <rFont val="Times New Roman"/>
            <family val="18"/>
          </rPr>
          <t>[AL April 1809]</t>
        </r>
        <r>
          <rPr>
            <sz val="14"/>
            <color rgb="FF000000"/>
            <rFont val="Calibri"/>
            <family val="34"/>
          </rPr>
          <t xml:space="preserve">
</t>
        </r>
        <r>
          <rPr>
            <sz val="14"/>
            <color rgb="FF000000"/>
            <rFont val="Times New Roman"/>
            <family val="18"/>
          </rPr>
          <t xml:space="preserve">06/12/1809 </t>
        </r>
        <r>
          <rPr>
            <i/>
            <sz val="14"/>
            <color rgb="FF000000"/>
            <rFont val="Times New Roman"/>
            <family val="18"/>
          </rPr>
          <t>Krank auswärts</t>
        </r>
        <r>
          <rPr>
            <sz val="14"/>
            <color rgb="FF000000"/>
            <rFont val="Times New Roman"/>
            <family val="18"/>
          </rPr>
          <t xml:space="preserve"> [ST Dec 1809]</t>
        </r>
        <r>
          <rPr>
            <sz val="14"/>
            <color rgb="FF000000"/>
            <rFont val="Calibri"/>
            <family val="34"/>
          </rPr>
          <t xml:space="preserve">
</t>
        </r>
        <r>
          <rPr>
            <sz val="14"/>
            <color rgb="FF000000"/>
            <rFont val="Times New Roman"/>
            <family val="18"/>
          </rPr>
          <t xml:space="preserve">24/01/1810 </t>
        </r>
        <r>
          <rPr>
            <i/>
            <sz val="14"/>
            <color rgb="FF000000"/>
            <rFont val="Times New Roman"/>
            <family val="18"/>
          </rPr>
          <t>Mit Viaticum von 2Fl 30Xr mit Abschied entlassen</t>
        </r>
        <r>
          <rPr>
            <sz val="14"/>
            <color rgb="FF000000"/>
            <rFont val="Times New Roman"/>
            <family val="18"/>
          </rPr>
          <t xml:space="preserve"> [ST Jan 1810]</t>
        </r>
      </text>
    </comment>
    <comment ref="BG45" authorId="0" shapeId="0" xr:uid="{DFBBBD2F-2C86-FD47-B15C-4EC4813480EE}">
      <text>
        <r>
          <rPr>
            <sz val="14"/>
            <color rgb="FF000000"/>
            <rFont val="Times New Roman"/>
            <family val="18"/>
          </rPr>
          <t>ML 10.831 WGal FB 2 (1809-10) – AL Nr. 83 (Krakow 40/04/1809), ST April (Politzka 13/07/1810), ST Dec (Tichmenitz 12/02/1811), ST 1810 Jan (Tichnowitz 03/03/1811)</t>
        </r>
        <r>
          <rPr>
            <sz val="14"/>
            <color rgb="FF000000"/>
            <rFont val="Calibri"/>
            <family val="34"/>
          </rPr>
          <t xml:space="preserve">
</t>
        </r>
      </text>
    </comment>
    <comment ref="BH45" authorId="0" shapeId="0" xr:uid="{55F780FB-D2C9-8643-82AD-50B6BA52E71F}">
      <text>
        <r>
          <rPr>
            <sz val="14"/>
            <color rgb="FF000000"/>
            <rFont val="Calibri"/>
            <family val="34"/>
          </rPr>
          <t>WGal FB 2 (1809-1810)</t>
        </r>
      </text>
    </comment>
    <comment ref="I46" authorId="0" shapeId="0" xr:uid="{93C37681-7074-1342-908B-C6F34C0A6D98}">
      <text>
        <r>
          <rPr>
            <b/>
            <sz val="14"/>
            <color rgb="FF000000"/>
            <rFont val="Calibri"/>
            <family val="34"/>
          </rPr>
          <t xml:space="preserve">1787 [18 (1805)]
</t>
        </r>
        <r>
          <rPr>
            <sz val="14"/>
            <color rgb="FF000000"/>
            <rFont val="Calibri"/>
            <family val="34"/>
          </rPr>
          <t xml:space="preserve">OR
</t>
        </r>
        <r>
          <rPr>
            <sz val="14"/>
            <color rgb="FF000000"/>
            <rFont val="Calibri"/>
            <family val="34"/>
          </rPr>
          <t xml:space="preserve">1789 [20 (1809)]
</t>
        </r>
      </text>
    </comment>
    <comment ref="T46" authorId="0" shapeId="0" xr:uid="{EF9B185E-D66F-8347-8141-19B17A5FB9FF}">
      <text>
        <r>
          <rPr>
            <b/>
            <sz val="14"/>
            <color rgb="FF000000"/>
            <rFont val="Calibri"/>
            <family val="34"/>
          </rPr>
          <t xml:space="preserve">5.1.3 [161.29 (1809)]
</t>
        </r>
        <r>
          <rPr>
            <sz val="14"/>
            <color rgb="FF000000"/>
            <rFont val="Calibri"/>
            <family val="34"/>
          </rPr>
          <t>5.2.2 [163.7 (1805)]</t>
        </r>
      </text>
    </comment>
    <comment ref="BF46" authorId="0" shapeId="0" xr:uid="{F1AEE055-DE23-A24E-8E36-D818C40CA803}">
      <text>
        <r>
          <rPr>
            <sz val="14"/>
            <color rgb="FF000000"/>
            <rFont val="Times New Roman"/>
            <family val="18"/>
          </rPr>
          <t xml:space="preserve">12/08/1805 </t>
        </r>
        <r>
          <rPr>
            <i/>
            <sz val="14"/>
            <color rgb="FF000000"/>
            <rFont val="Times New Roman"/>
            <family val="18"/>
          </rPr>
          <t>Von Ständen a 3 Fl Handgeld mit 10 jährigen Capitulation zum IR 4 gestellt und zum Nagle Komp. eingeteilt</t>
        </r>
        <r>
          <rPr>
            <sz val="14"/>
            <color rgb="FF000000"/>
            <rFont val="Times New Roman"/>
            <family val="18"/>
          </rPr>
          <t xml:space="preserve"> [AL July 1805]</t>
        </r>
        <r>
          <rPr>
            <sz val="14"/>
            <color rgb="FF000000"/>
            <rFont val="Calibri"/>
            <family val="34"/>
          </rPr>
          <t xml:space="preserve">
</t>
        </r>
        <r>
          <rPr>
            <sz val="14"/>
            <color rgb="FF000000"/>
            <rFont val="Times New Roman"/>
            <family val="18"/>
          </rPr>
          <t>17/12/1806 Muster: IR 1 Haupt Drasenovich Nr. 180 [</t>
        </r>
        <r>
          <rPr>
            <i/>
            <sz val="14"/>
            <color rgb="FF000000"/>
            <rFont val="Times New Roman"/>
            <family val="18"/>
          </rPr>
          <t>Beurlaubt bis zur Einberufung</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??/11/1806 </t>
        </r>
        <r>
          <rPr>
            <i/>
            <sz val="14"/>
            <color rgb="FF000000"/>
            <rFont val="Times New Roman"/>
            <family val="18"/>
          </rPr>
          <t>Von Urlaub desertiert</t>
        </r>
        <r>
          <rPr>
            <sz val="14"/>
            <color rgb="FF000000"/>
            <rFont val="Times New Roman"/>
            <family val="18"/>
          </rPr>
          <t xml:space="preserve"> [ST Nov 1807 &amp; TL Dec 1809]</t>
        </r>
        <r>
          <rPr>
            <sz val="14"/>
            <color rgb="FF000000"/>
            <rFont val="Calibri"/>
            <family val="34"/>
          </rPr>
          <t xml:space="preserve">
</t>
        </r>
        <r>
          <rPr>
            <sz val="14"/>
            <color rgb="FF000000"/>
            <rFont val="Times New Roman"/>
            <family val="18"/>
          </rPr>
          <t xml:space="preserve">20/11/1807 </t>
        </r>
        <r>
          <rPr>
            <i/>
            <sz val="14"/>
            <color rgb="FF000000"/>
            <rFont val="Times New Roman"/>
            <family val="18"/>
          </rPr>
          <t>Als von Land a 24 Fl Taglia attrappierter Deserteur zu Brünn präsentiert und seitdem in Arrest in Regiments Stockhaus wegen Desertion</t>
        </r>
        <r>
          <rPr>
            <sz val="14"/>
            <color rgb="FF000000"/>
            <rFont val="Times New Roman"/>
            <family val="18"/>
          </rPr>
          <t xml:space="preserve"> [ST Nov 1807]</t>
        </r>
        <r>
          <rPr>
            <sz val="14"/>
            <color rgb="FF000000"/>
            <rFont val="Calibri"/>
            <family val="34"/>
          </rPr>
          <t xml:space="preserve">
</t>
        </r>
        <r>
          <rPr>
            <sz val="14"/>
            <color rgb="FFFF0000"/>
            <rFont val="Times New Roman"/>
            <family val="18"/>
          </rPr>
          <t xml:space="preserve">20/11/1807 </t>
        </r>
        <r>
          <rPr>
            <i/>
            <sz val="14"/>
            <color rgb="FFFF0000"/>
            <rFont val="Times New Roman"/>
            <family val="18"/>
          </rPr>
          <t>Von Laudonischen Regiment [transferiert]</t>
        </r>
        <r>
          <rPr>
            <sz val="14"/>
            <color rgb="FFFF0000"/>
            <rFont val="Times New Roman"/>
            <family val="18"/>
          </rPr>
          <t xml:space="preserve"> [TL Dec 1809]</t>
        </r>
        <r>
          <rPr>
            <sz val="14"/>
            <color rgb="FF000000"/>
            <rFont val="Calibri"/>
            <family val="34"/>
          </rPr>
          <t xml:space="preserve">
</t>
        </r>
        <r>
          <rPr>
            <sz val="14"/>
            <color rgb="FF000000"/>
            <rFont val="Times New Roman"/>
            <family val="18"/>
          </rPr>
          <t xml:space="preserve">09/12/1807 </t>
        </r>
        <r>
          <rPr>
            <i/>
            <sz val="14"/>
            <color rgb="FF000000"/>
            <rFont val="Times New Roman"/>
            <family val="18"/>
          </rPr>
          <t xml:space="preserve">Befreit und zum Staab zugeteilt </t>
        </r>
        <r>
          <rPr>
            <sz val="14"/>
            <color rgb="FF000000"/>
            <rFont val="Times New Roman"/>
            <family val="18"/>
          </rPr>
          <t xml:space="preserve">&amp; </t>
        </r>
        <r>
          <rPr>
            <i/>
            <sz val="14"/>
            <color rgb="FF000000"/>
            <rFont val="Times New Roman"/>
            <family val="18"/>
          </rPr>
          <t>Hat Vermog Hofkriegsratlichen Sentetz 5 Jahr Uber die bestimmte Capitulation Zeit zu Dienen</t>
        </r>
        <r>
          <rPr>
            <sz val="14"/>
            <color rgb="FF000000"/>
            <rFont val="Times New Roman"/>
            <family val="18"/>
          </rPr>
          <t xml:space="preserve"> [ST Dec 1807]</t>
        </r>
        <r>
          <rPr>
            <sz val="14"/>
            <color rgb="FF000000"/>
            <rFont val="Calibri"/>
            <family val="34"/>
          </rPr>
          <t xml:space="preserve">
</t>
        </r>
        <r>
          <rPr>
            <sz val="14"/>
            <color rgb="FF000000"/>
            <rFont val="Times New Roman"/>
            <family val="18"/>
          </rPr>
          <t xml:space="preserve">16/12/1808 </t>
        </r>
        <r>
          <rPr>
            <i/>
            <sz val="14"/>
            <color rgb="FF000000"/>
            <rFont val="Times New Roman"/>
            <family val="18"/>
          </rPr>
          <t>Krank im Spital zu Rzeszów</t>
        </r>
        <r>
          <rPr>
            <sz val="14"/>
            <color rgb="FF000000"/>
            <rFont val="Times New Roman"/>
            <family val="18"/>
          </rPr>
          <t xml:space="preserve"> [ST Dec 1808]</t>
        </r>
        <r>
          <rPr>
            <sz val="14"/>
            <color rgb="FF000000"/>
            <rFont val="Calibri"/>
            <family val="34"/>
          </rPr>
          <t xml:space="preserve">
</t>
        </r>
        <r>
          <rPr>
            <sz val="14"/>
            <color rgb="FF000000"/>
            <rFont val="Times New Roman"/>
            <family val="18"/>
          </rPr>
          <t xml:space="preserve">31/12/1808 </t>
        </r>
        <r>
          <rPr>
            <i/>
            <sz val="14"/>
            <color rgb="FF000000"/>
            <rFont val="Times New Roman"/>
            <family val="18"/>
          </rPr>
          <t>Rekonvalesziert</t>
        </r>
        <r>
          <rPr>
            <sz val="14"/>
            <color rgb="FF000000"/>
            <rFont val="Times New Roman"/>
            <family val="18"/>
          </rPr>
          <t xml:space="preserve"> [ST Jan 1809]</t>
        </r>
        <r>
          <rPr>
            <sz val="14"/>
            <color rgb="FF000000"/>
            <rFont val="Calibri"/>
            <family val="34"/>
          </rPr>
          <t xml:space="preserve">
</t>
        </r>
        <r>
          <rPr>
            <sz val="14"/>
            <color rgb="FF000000"/>
            <rFont val="Times New Roman"/>
            <family val="18"/>
          </rPr>
          <t xml:space="preserve">16/02/1809 </t>
        </r>
        <r>
          <rPr>
            <i/>
            <sz val="14"/>
            <color rgb="FF000000"/>
            <rFont val="Times New Roman"/>
            <family val="18"/>
          </rPr>
          <t>Von 14. Fus. Komp. zum 2. Depot Komp. transferiert</t>
        </r>
        <r>
          <rPr>
            <sz val="14"/>
            <color rgb="FF000000"/>
            <rFont val="Times New Roman"/>
            <family val="18"/>
          </rPr>
          <t xml:space="preserve"> [ST Feb 1809]</t>
        </r>
        <r>
          <rPr>
            <sz val="14"/>
            <color rgb="FF000000"/>
            <rFont val="Calibri"/>
            <family val="34"/>
          </rPr>
          <t xml:space="preserve">
</t>
        </r>
        <r>
          <rPr>
            <sz val="14"/>
            <color rgb="FF000000"/>
            <rFont val="Times New Roman"/>
            <family val="18"/>
          </rPr>
          <t xml:space="preserve">01/04/1809 </t>
        </r>
        <r>
          <rPr>
            <i/>
            <sz val="14"/>
            <color rgb="FF000000"/>
            <rFont val="Times New Roman"/>
            <family val="18"/>
          </rPr>
          <t>Von IR 1 ‚Kaiser‘ Depot Division zum Galizischen Freibataillon Nr. 2 transferiert und zum 4. Kompanie eingeteilt</t>
        </r>
        <r>
          <rPr>
            <sz val="14"/>
            <color rgb="FF000000"/>
            <rFont val="Times New Roman"/>
            <family val="18"/>
          </rPr>
          <t xml:space="preserve"> [TL Dec 1809 &amp; ST April 1809]</t>
        </r>
        <r>
          <rPr>
            <sz val="14"/>
            <color rgb="FF000000"/>
            <rFont val="Calibri"/>
            <family val="34"/>
          </rPr>
          <t xml:space="preserve">
</t>
        </r>
        <r>
          <rPr>
            <sz val="14"/>
            <color rgb="FF000000"/>
            <rFont val="Times New Roman"/>
            <family val="18"/>
          </rPr>
          <t xml:space="preserve">20/01/1810 </t>
        </r>
        <r>
          <rPr>
            <i/>
            <sz val="14"/>
            <color rgb="FF000000"/>
            <rFont val="Times New Roman"/>
            <family val="18"/>
          </rPr>
          <t xml:space="preserve">Von dissolvierte Galizischen Freibataillon Nr. 2 3. Kompanie zum IR 1 Zurück transferiert und zum 2. Fus Komp zugeteilt und seitdem auf dem Marsch von Leutomischl aus Böhmen </t>
        </r>
        <r>
          <rPr>
            <sz val="14"/>
            <color rgb="FF000000"/>
            <rFont val="Times New Roman"/>
            <family val="18"/>
          </rPr>
          <t>[TL 1810 &amp; ST Jan 1810]</t>
        </r>
        <r>
          <rPr>
            <sz val="14"/>
            <color rgb="FF000000"/>
            <rFont val="Calibri"/>
            <family val="34"/>
          </rPr>
          <t xml:space="preserve">
</t>
        </r>
        <r>
          <rPr>
            <sz val="14"/>
            <color rgb="FF000000"/>
            <rFont val="Times New Roman"/>
            <family val="18"/>
          </rPr>
          <t xml:space="preserve">25/08/1810 </t>
        </r>
        <r>
          <rPr>
            <i/>
            <sz val="14"/>
            <color rgb="FF000000"/>
            <rFont val="Times New Roman"/>
            <family val="18"/>
          </rPr>
          <t xml:space="preserve">Zu folge hoher General Commando Verordnung ddt. Brunn den 19. July 810 von deren existenz unbewusst als auf Marsch verblieben als unwissend verloren in Abgang gebracht </t>
        </r>
        <r>
          <rPr>
            <sz val="14"/>
            <color rgb="FF000000"/>
            <rFont val="Times New Roman"/>
            <family val="18"/>
          </rPr>
          <t xml:space="preserve">[ST Aug 1810] </t>
        </r>
      </text>
    </comment>
    <comment ref="BG46" authorId="0" shapeId="0" xr:uid="{3A798890-6B2F-5A46-AAB7-33AE9F7A306C}">
      <text>
        <r>
          <rPr>
            <sz val="14"/>
            <color rgb="FF000000"/>
            <rFont val="Times New Roman"/>
            <family val="18"/>
          </rPr>
          <t>ML 31/2 IR 1 (1806) – 14. Fus Komp. Nr. 180 (Prosnitz 17/12/1806)</t>
        </r>
        <r>
          <rPr>
            <sz val="14"/>
            <color rgb="FF000000"/>
            <rFont val="Calibri"/>
            <family val="34"/>
          </rPr>
          <t xml:space="preserve">
</t>
        </r>
        <r>
          <rPr>
            <sz val="14"/>
            <color rgb="FF000000"/>
            <rFont val="Times New Roman"/>
            <family val="18"/>
          </rPr>
          <t>ML 87 IR 1 (1807) – ST Nov (Brünn 11/01/1808), Dec (Brünn 10/02/1808)</t>
        </r>
        <r>
          <rPr>
            <sz val="14"/>
            <color rgb="FF000000"/>
            <rFont val="Calibri"/>
            <family val="34"/>
          </rPr>
          <t xml:space="preserve">
</t>
        </r>
        <r>
          <rPr>
            <sz val="14"/>
            <color rgb="FF000000"/>
            <rFont val="Times New Roman"/>
            <family val="18"/>
          </rPr>
          <t>ML 89 IR 1 (1808) – ST Dec (Olmütz 10/04/1809)</t>
        </r>
        <r>
          <rPr>
            <sz val="14"/>
            <color rgb="FF000000"/>
            <rFont val="Calibri"/>
            <family val="34"/>
          </rPr>
          <t xml:space="preserve">
</t>
        </r>
        <r>
          <rPr>
            <sz val="14"/>
            <color rgb="FF000000"/>
            <rFont val="Times New Roman"/>
            <family val="18"/>
          </rPr>
          <t>ML 91 IR 1 (1809) – ST Jan (Olmütz 17/04/1809), Feb (Olmütz 20/07/1809), April (Proßnitz 26/07/1810)</t>
        </r>
        <r>
          <rPr>
            <sz val="14"/>
            <color rgb="FF000000"/>
            <rFont val="Calibri"/>
            <family val="34"/>
          </rPr>
          <t xml:space="preserve">
</t>
        </r>
        <r>
          <rPr>
            <sz val="14"/>
            <color rgb="FF000000"/>
            <rFont val="Times New Roman"/>
            <family val="18"/>
          </rPr>
          <t xml:space="preserve">ML 92 IR 1 (1809) AL/TL – TL IR 1-&gt;FB WGal 2 (Leutomischl 20/01/1810) </t>
        </r>
        <r>
          <rPr>
            <sz val="14"/>
            <color rgb="FF000000"/>
            <rFont val="Calibri"/>
            <family val="34"/>
          </rPr>
          <t xml:space="preserve">
</t>
        </r>
        <r>
          <rPr>
            <sz val="14"/>
            <color rgb="FF000000"/>
            <rFont val="Times New Roman"/>
            <family val="18"/>
          </rPr>
          <t>ML 94 IR 1 (1810) – ST Feb (Proßnitz 15/02/1811), Aug (Brünn 08/04/1811)</t>
        </r>
        <r>
          <rPr>
            <sz val="14"/>
            <color rgb="FF000000"/>
            <rFont val="Calibri"/>
            <family val="34"/>
          </rPr>
          <t xml:space="preserve">
</t>
        </r>
        <r>
          <rPr>
            <sz val="14"/>
            <color rgb="FF000000"/>
            <rFont val="Times New Roman"/>
            <family val="18"/>
          </rPr>
          <t xml:space="preserve">ML 95 IR 1 (1810) AL/TL –FB WGal 2-&gt;IR 1 Nr.  (Proßnitz 01/12/1809) </t>
        </r>
        <r>
          <rPr>
            <sz val="14"/>
            <color rgb="FF000000"/>
            <rFont val="Calibri"/>
            <family val="34"/>
          </rPr>
          <t xml:space="preserve">
</t>
        </r>
        <r>
          <rPr>
            <sz val="14"/>
            <color rgb="FF000000"/>
            <rFont val="Times New Roman"/>
            <family val="18"/>
          </rPr>
          <t xml:space="preserve">ML 10.831 WGal FB 2 (1809-10) – TL IR 1-&gt; WGal FB 2 Nr. 4 (Prossnitz 01/12/1809) &amp; TL WGal FB 2-&gt; IR 1 Nr. 4 </t>
        </r>
        <r>
          <rPr>
            <sz val="14"/>
            <color rgb="FF000000"/>
            <rFont val="Times New Roman"/>
            <family val="18"/>
          </rPr>
          <t xml:space="preserve">(Leitmoschil 20/01/1810), </t>
        </r>
        <r>
          <rPr>
            <sz val="14"/>
            <color rgb="FF000000"/>
            <rFont val="Times New Roman"/>
            <family val="18"/>
          </rPr>
          <t xml:space="preserve">ST April (Politzka 13/07/1810), </t>
        </r>
        <r>
          <rPr>
            <sz val="14"/>
            <color rgb="FF000000"/>
            <rFont val="Times New Roman"/>
            <family val="18"/>
          </rPr>
          <t>ST 1810 Jan (Tichnowitz 03/03/1811)</t>
        </r>
        <r>
          <rPr>
            <sz val="14"/>
            <color rgb="FF000000"/>
            <rFont val="Calibri"/>
            <family val="34"/>
          </rPr>
          <t xml:space="preserve">
</t>
        </r>
      </text>
    </comment>
    <comment ref="BH46" authorId="0" shapeId="0" xr:uid="{E02BE0A7-3C06-884C-80E1-D1228BC4409B}">
      <text>
        <r>
          <rPr>
            <sz val="14"/>
            <color rgb="FF000000"/>
            <rFont val="Calibri"/>
            <family val="34"/>
          </rPr>
          <t xml:space="preserve">IR 1 (1805-1809)
</t>
        </r>
        <r>
          <rPr>
            <sz val="14"/>
            <color rgb="FF000000"/>
            <rFont val="Calibri"/>
            <family val="34"/>
          </rPr>
          <t xml:space="preserve">WGal FB 2 (1809-1810)
</t>
        </r>
        <r>
          <rPr>
            <sz val="14"/>
            <color rgb="FF000000"/>
            <rFont val="Calibri"/>
            <family val="34"/>
          </rPr>
          <t>IR 1 (1810)</t>
        </r>
      </text>
    </comment>
    <comment ref="I47" authorId="0" shapeId="0" xr:uid="{0FEB279C-288B-0445-8834-D0F4AEE9871D}">
      <text>
        <r>
          <rPr>
            <sz val="14"/>
            <color rgb="FF000000"/>
            <rFont val="Calibri"/>
            <family val="34"/>
          </rPr>
          <t xml:space="preserve">1788 [31 (ML 1817)
</t>
        </r>
        <r>
          <rPr>
            <sz val="14"/>
            <color rgb="FF000000"/>
            <rFont val="Calibri"/>
            <family val="34"/>
          </rPr>
          <t xml:space="preserve">OR
</t>
        </r>
        <r>
          <rPr>
            <b/>
            <sz val="14"/>
            <color rgb="FF000000"/>
            <rFont val="Calibri"/>
            <family val="34"/>
          </rPr>
          <t xml:space="preserve">1790 [19 (AL 1809)]
</t>
        </r>
        <r>
          <rPr>
            <sz val="14"/>
            <color rgb="FF000000"/>
            <rFont val="Calibri"/>
            <family val="34"/>
          </rPr>
          <t xml:space="preserve">OR
</t>
        </r>
        <r>
          <rPr>
            <sz val="14"/>
            <color rgb="FF000000"/>
            <rFont val="Calibri"/>
            <family val="34"/>
          </rPr>
          <t xml:space="preserve">1792 [18 (AL 1810)] </t>
        </r>
      </text>
    </comment>
    <comment ref="T47" authorId="0" shapeId="0" xr:uid="{FA573B35-97FC-4449-B54A-64AE17858DFC}">
      <text>
        <r>
          <rPr>
            <sz val="14"/>
            <color rgb="FF000000"/>
            <rFont val="Calibri"/>
            <family val="34"/>
          </rPr>
          <t xml:space="preserve">155.33 (1809)
</t>
        </r>
        <r>
          <rPr>
            <sz val="14"/>
            <color rgb="FF000000"/>
            <rFont val="Calibri"/>
            <family val="34"/>
          </rPr>
          <t>163.9 (1810/17)</t>
        </r>
      </text>
    </comment>
    <comment ref="BF47" authorId="0" shapeId="0" xr:uid="{7F7A263D-0A6A-9840-BF8E-57765D84B2B8}">
      <text>
        <r>
          <rPr>
            <sz val="14"/>
            <color rgb="FF000000"/>
            <rFont val="Times New Roman"/>
            <family val="18"/>
          </rPr>
          <t xml:space="preserve">25/04/1809 </t>
        </r>
        <r>
          <rPr>
            <i/>
            <sz val="14"/>
            <color rgb="FF000000"/>
            <rFont val="Times New Roman"/>
            <family val="18"/>
          </rPr>
          <t xml:space="preserve">Zum Westgalizischen Frei Bat. Nr. 2 auf Werbgeld von 15Fl </t>
        </r>
        <r>
          <rPr>
            <sz val="14"/>
            <color rgb="FF000000"/>
            <rFont val="Times New Roman"/>
            <family val="18"/>
          </rPr>
          <t xml:space="preserve">[davon 5 Handgeld, 8 sonstige Unkosten und 2. Anbringsgeld] </t>
        </r>
        <r>
          <rPr>
            <i/>
            <sz val="14"/>
            <color rgb="FF000000"/>
            <rFont val="Times New Roman"/>
            <family val="18"/>
          </rPr>
          <t xml:space="preserve">auf Kriegsdauer assentiert und zur 3. Komp. von Haupt. Vetter eingeheilt </t>
        </r>
        <r>
          <rPr>
            <sz val="14"/>
            <color rgb="FF000000"/>
            <rFont val="Times New Roman"/>
            <family val="18"/>
          </rPr>
          <t>[AL April 1809 &amp; ST April 1809]</t>
        </r>
        <r>
          <rPr>
            <sz val="14"/>
            <color rgb="FF000000"/>
            <rFont val="Calibri"/>
            <family val="34"/>
          </rPr>
          <t xml:space="preserve">
</t>
        </r>
        <r>
          <rPr>
            <sz val="14"/>
            <color rgb="FFFF0000"/>
            <rFont val="Times New Roman"/>
            <family val="18"/>
          </rPr>
          <t xml:space="preserve">26/05/1809 </t>
        </r>
        <r>
          <rPr>
            <i/>
            <sz val="14"/>
            <color rgb="FFFF0000"/>
            <rFont val="Times New Roman"/>
            <family val="18"/>
          </rPr>
          <t xml:space="preserve">Zum Westgalizischen Frei Bat. Nr. 2 auf Werbgeld von 15Fl </t>
        </r>
        <r>
          <rPr>
            <sz val="14"/>
            <color rgb="FFFF0000"/>
            <rFont val="Times New Roman"/>
            <family val="18"/>
          </rPr>
          <t xml:space="preserve">[davon 5 Handgeld, 8 Umkosten und 2. Anbringsgeld] </t>
        </r>
        <r>
          <rPr>
            <i/>
            <sz val="14"/>
            <color rgb="FFFF0000"/>
            <rFont val="Times New Roman"/>
            <family val="18"/>
          </rPr>
          <t xml:space="preserve">auf Kriegsdauer assentiert und zum 5. Komp. ‘Drak’ eingeheilt </t>
        </r>
        <r>
          <rPr>
            <sz val="14"/>
            <color rgb="FFFF0000"/>
            <rFont val="Times New Roman"/>
            <family val="18"/>
          </rPr>
          <t>[AL May 1809]</t>
        </r>
        <r>
          <rPr>
            <sz val="14"/>
            <color rgb="FF000000"/>
            <rFont val="Calibri"/>
            <family val="34"/>
          </rPr>
          <t xml:space="preserve">
</t>
        </r>
        <r>
          <rPr>
            <sz val="14"/>
            <color rgb="FF000000"/>
            <rFont val="Times New Roman"/>
            <family val="18"/>
          </rPr>
          <t xml:space="preserve">20/01/1810 </t>
        </r>
        <r>
          <rPr>
            <i/>
            <sz val="14"/>
            <color rgb="FF000000"/>
            <rFont val="Times New Roman"/>
            <family val="18"/>
          </rPr>
          <t>Ohne Viaticum mit Abschied entlassen</t>
        </r>
        <r>
          <rPr>
            <sz val="14"/>
            <color rgb="FF000000"/>
            <rFont val="Times New Roman"/>
            <family val="18"/>
          </rPr>
          <t xml:space="preserve"> [ST Jan 1810] </t>
        </r>
        <r>
          <rPr>
            <sz val="14"/>
            <color rgb="FF000000"/>
            <rFont val="Calibri"/>
            <family val="34"/>
          </rPr>
          <t xml:space="preserve">
</t>
        </r>
        <r>
          <rPr>
            <i/>
            <sz val="14"/>
            <color rgb="FFFF0000"/>
            <rFont val="Times New Roman"/>
            <family val="18"/>
          </rPr>
          <t>Hat Früher bei den 2. Westgallizischen FB gedient</t>
        </r>
        <r>
          <rPr>
            <sz val="14"/>
            <color rgb="FFFF0000"/>
            <rFont val="Times New Roman"/>
            <family val="18"/>
          </rPr>
          <t xml:space="preserve"> [AL Jan 1810]</t>
        </r>
        <r>
          <rPr>
            <sz val="14"/>
            <color rgb="FF000000"/>
            <rFont val="Calibri"/>
            <family val="34"/>
          </rPr>
          <t xml:space="preserve">
</t>
        </r>
        <r>
          <rPr>
            <sz val="14"/>
            <color rgb="FF000000"/>
            <rFont val="Times New Roman"/>
            <family val="18"/>
          </rPr>
          <t xml:space="preserve">21/01/1810 </t>
        </r>
        <r>
          <rPr>
            <i/>
            <sz val="14"/>
            <color rgb="FF000000"/>
            <rFont val="Times New Roman"/>
            <family val="18"/>
          </rPr>
          <t xml:space="preserve">Auf 12Fl Werbgeld in IR 63 als Ausländer assentiert, zur 4. Kompanie zugeheilt und seitdem mit loco Verpflegung in Leitomischel commandiert </t>
        </r>
        <r>
          <rPr>
            <sz val="14"/>
            <color rgb="FF000000"/>
            <rFont val="Times New Roman"/>
            <family val="18"/>
          </rPr>
          <t xml:space="preserve"> [AL Jan 1810 &amp; ST Jan 1810] </t>
        </r>
        <r>
          <rPr>
            <sz val="14"/>
            <color rgb="FF000000"/>
            <rFont val="Calibri"/>
            <family val="34"/>
          </rPr>
          <t xml:space="preserve">
</t>
        </r>
        <r>
          <rPr>
            <sz val="14"/>
            <color rgb="FFFF0000"/>
            <rFont val="Times New Roman"/>
            <family val="18"/>
          </rPr>
          <t xml:space="preserve">21/01/1810 </t>
        </r>
        <r>
          <rPr>
            <i/>
            <sz val="14"/>
            <color rgb="FFFF0000"/>
            <rFont val="Times New Roman"/>
            <family val="18"/>
          </rPr>
          <t>Auf 10 Jahre assentiert</t>
        </r>
        <r>
          <rPr>
            <sz val="14"/>
            <color rgb="FFFF0000"/>
            <rFont val="Times New Roman"/>
            <family val="18"/>
          </rPr>
          <t xml:space="preserve"> [ML 1817]</t>
        </r>
        <r>
          <rPr>
            <sz val="14"/>
            <color rgb="FF000000"/>
            <rFont val="Calibri"/>
            <family val="34"/>
          </rPr>
          <t xml:space="preserve">
</t>
        </r>
        <r>
          <rPr>
            <sz val="14"/>
            <color rgb="FF000000"/>
            <rFont val="Times New Roman"/>
            <family val="18"/>
          </rPr>
          <t xml:space="preserve">12/02/1810 </t>
        </r>
        <r>
          <rPr>
            <i/>
            <sz val="14"/>
            <color rgb="FF000000"/>
            <rFont val="Times New Roman"/>
            <family val="18"/>
          </rPr>
          <t>In der Kompanie eingerückt</t>
        </r>
        <r>
          <rPr>
            <sz val="14"/>
            <color rgb="FF000000"/>
            <rFont val="Times New Roman"/>
            <family val="18"/>
          </rPr>
          <t xml:space="preserve"> [ST Feb 1810]</t>
        </r>
        <r>
          <rPr>
            <sz val="14"/>
            <color rgb="FF000000"/>
            <rFont val="Calibri"/>
            <family val="34"/>
          </rPr>
          <t xml:space="preserve">
</t>
        </r>
        <r>
          <rPr>
            <sz val="14"/>
            <color rgb="FF000000"/>
            <rFont val="Times New Roman"/>
            <family val="18"/>
          </rPr>
          <t xml:space="preserve">21/08/1810 </t>
        </r>
        <r>
          <rPr>
            <i/>
            <sz val="14"/>
            <color rgb="FF000000"/>
            <rFont val="Times New Roman"/>
            <family val="18"/>
          </rPr>
          <t>Auf Arbeit zu Comorn commandiert</t>
        </r>
        <r>
          <rPr>
            <sz val="14"/>
            <color rgb="FF000000"/>
            <rFont val="Times New Roman"/>
            <family val="18"/>
          </rPr>
          <t xml:space="preserve"> [ST Aug 1810]</t>
        </r>
        <r>
          <rPr>
            <sz val="14"/>
            <color rgb="FF000000"/>
            <rFont val="Calibri"/>
            <family val="34"/>
          </rPr>
          <t xml:space="preserve">
</t>
        </r>
        <r>
          <rPr>
            <sz val="14"/>
            <color rgb="FF000000"/>
            <rFont val="Times New Roman"/>
            <family val="18"/>
          </rPr>
          <t xml:space="preserve">01/11/1810 </t>
        </r>
        <r>
          <rPr>
            <i/>
            <sz val="14"/>
            <color rgb="FF000000"/>
            <rFont val="Times New Roman"/>
            <family val="18"/>
          </rPr>
          <t xml:space="preserve">Auf Arbeit in Comorn beurlaubt </t>
        </r>
        <r>
          <rPr>
            <sz val="14"/>
            <color rgb="FF000000"/>
            <rFont val="Times New Roman"/>
            <family val="18"/>
          </rPr>
          <t>[ST Nov 1810]</t>
        </r>
        <r>
          <rPr>
            <sz val="14"/>
            <color rgb="FF000000"/>
            <rFont val="Calibri"/>
            <family val="34"/>
          </rPr>
          <t xml:space="preserve">
</t>
        </r>
        <r>
          <rPr>
            <sz val="14"/>
            <color rgb="FF000000"/>
            <rFont val="Times New Roman"/>
            <family val="18"/>
          </rPr>
          <t xml:space="preserve">18/11/1813 </t>
        </r>
        <r>
          <rPr>
            <i/>
            <sz val="14"/>
            <color rgb="FF000000"/>
            <rFont val="Times New Roman"/>
            <family val="18"/>
          </rPr>
          <t xml:space="preserve">Zum Gefreyter avanciert </t>
        </r>
        <r>
          <rPr>
            <sz val="14"/>
            <color rgb="FF000000"/>
            <rFont val="Times New Roman"/>
            <family val="18"/>
          </rPr>
          <t>[ML 1817]</t>
        </r>
        <r>
          <rPr>
            <sz val="14"/>
            <color rgb="FF000000"/>
            <rFont val="Calibri"/>
            <family val="34"/>
          </rPr>
          <t xml:space="preserve">
</t>
        </r>
        <r>
          <rPr>
            <sz val="14"/>
            <color rgb="FF000000"/>
            <rFont val="Times New Roman"/>
            <family val="18"/>
          </rPr>
          <t xml:space="preserve">01/06/1815 </t>
        </r>
        <r>
          <rPr>
            <i/>
            <sz val="14"/>
            <color rgb="FF000000"/>
            <rFont val="Times New Roman"/>
            <family val="18"/>
          </rPr>
          <t>Von Bianchi Inf.</t>
        </r>
        <r>
          <rPr>
            <sz val="14"/>
            <color rgb="FF000000"/>
            <rFont val="Times New Roman"/>
            <family val="18"/>
          </rPr>
          <t xml:space="preserve"> </t>
        </r>
        <r>
          <rPr>
            <b/>
            <sz val="14"/>
            <color rgb="FF000000"/>
            <rFont val="Times New Roman"/>
            <family val="18"/>
          </rPr>
          <t>[NIR 63]</t>
        </r>
        <r>
          <rPr>
            <sz val="14"/>
            <color rgb="FF000000"/>
            <rFont val="Times New Roman"/>
            <family val="18"/>
          </rPr>
          <t xml:space="preserve"> </t>
        </r>
        <r>
          <rPr>
            <i/>
            <sz val="14"/>
            <color rgb="FF000000"/>
            <rFont val="Times New Roman"/>
            <family val="18"/>
          </rPr>
          <t>anherro</t>
        </r>
        <r>
          <rPr>
            <sz val="14"/>
            <color rgb="FF000000"/>
            <rFont val="Times New Roman"/>
            <family val="18"/>
          </rPr>
          <t xml:space="preserve"> </t>
        </r>
        <r>
          <rPr>
            <b/>
            <sz val="14"/>
            <color rgb="FF000000"/>
            <rFont val="Times New Roman"/>
            <family val="18"/>
          </rPr>
          <t>[IR 40]</t>
        </r>
        <r>
          <rPr>
            <sz val="14"/>
            <color rgb="FF000000"/>
            <rFont val="Times New Roman"/>
            <family val="18"/>
          </rPr>
          <t xml:space="preserve"> </t>
        </r>
        <r>
          <rPr>
            <i/>
            <sz val="14"/>
            <color rgb="FF000000"/>
            <rFont val="Times New Roman"/>
            <family val="18"/>
          </rPr>
          <t>transferiert</t>
        </r>
        <r>
          <rPr>
            <sz val="14"/>
            <color rgb="FF000000"/>
            <rFont val="Times New Roman"/>
            <family val="18"/>
          </rPr>
          <t xml:space="preserve"> [ML 1817]</t>
        </r>
        <r>
          <rPr>
            <sz val="14"/>
            <color rgb="FF000000"/>
            <rFont val="Calibri"/>
            <family val="34"/>
          </rPr>
          <t xml:space="preserve">
</t>
        </r>
        <r>
          <rPr>
            <sz val="14"/>
            <color rgb="FF000000"/>
            <rFont val="Times New Roman"/>
            <family val="18"/>
          </rPr>
          <t>29/09/1817 Muster: IR 17 4. Fus Komp. Nr. 19</t>
        </r>
        <r>
          <rPr>
            <sz val="14"/>
            <color rgb="FF000000"/>
            <rFont val="Calibri"/>
            <family val="34"/>
          </rPr>
          <t xml:space="preserve">
</t>
        </r>
        <r>
          <rPr>
            <sz val="14"/>
            <color rgb="FF000000"/>
            <rFont val="Times New Roman"/>
            <family val="18"/>
          </rPr>
          <t>29/09/1817 Muster: IR 17 4. Fus Komp. Nr. 18</t>
        </r>
        <r>
          <rPr>
            <sz val="14"/>
            <color rgb="FF000000"/>
            <rFont val="Calibri"/>
            <family val="34"/>
          </rPr>
          <t xml:space="preserve">
</t>
        </r>
        <r>
          <rPr>
            <sz val="14"/>
            <color rgb="FF000000"/>
            <rFont val="Times New Roman"/>
            <family val="18"/>
          </rPr>
          <t xml:space="preserve">25/12/1818 </t>
        </r>
        <r>
          <rPr>
            <i/>
            <sz val="14"/>
            <color rgb="FF000000"/>
            <rFont val="Times New Roman"/>
            <family val="18"/>
          </rPr>
          <t>Als Ausgedienter Ausländer mit Abschied entlassen</t>
        </r>
        <r>
          <rPr>
            <sz val="14"/>
            <color rgb="FF000000"/>
            <rFont val="Times New Roman"/>
            <family val="18"/>
          </rPr>
          <t xml:space="preserve"> [ML 1819]</t>
        </r>
      </text>
    </comment>
    <comment ref="BG47" authorId="0" shapeId="0" xr:uid="{28A0E36C-E627-E440-964F-1A94DE382039}">
      <text>
        <r>
          <rPr>
            <sz val="14"/>
            <color rgb="FF000000"/>
            <rFont val="Times New Roman"/>
            <family val="18"/>
          </rPr>
          <t xml:space="preserve">ML 10.831 WGal FB 2 (1809-10) – AL Nr. 91 (Krakow 30/04/1809) &amp; AL Nr. 83 (Krakow 30/05/1809), ST April (Politzka 13/07/1810), ST 1810 Jan (Tichnowitz 03/03/1811)
</t>
        </r>
        <r>
          <rPr>
            <sz val="14"/>
            <color rgb="FF000000"/>
            <rFont val="Times New Roman"/>
            <family val="18"/>
          </rPr>
          <t xml:space="preserve">ML 5292 IR 63 (1810) – Jan (Preßburg 20/06/1811), Feb (Preßburg 26/06/1811), Aug (31/10/1811), Nov (Brünn 20/11/1811)
</t>
        </r>
        <r>
          <rPr>
            <sz val="14"/>
            <color rgb="FF000000"/>
            <rFont val="Times New Roman"/>
            <family val="18"/>
          </rPr>
          <t xml:space="preserve">ML 5293 IR 63 (1810) AL/TL – AL Nr. 2 (Leitmoschil 21/01/1810)
</t>
        </r>
        <r>
          <rPr>
            <sz val="14"/>
            <color rgb="FF000000"/>
            <rFont val="Times New Roman"/>
            <family val="18"/>
          </rPr>
          <t xml:space="preserve">ML 3598 IR 40 (1817) – 4. Fus. Komp. Nr. 19 (Myszlenitz 29/09/1817)
</t>
        </r>
        <r>
          <rPr>
            <sz val="14"/>
            <color rgb="FF000000"/>
            <rFont val="Times New Roman"/>
            <family val="18"/>
          </rPr>
          <t xml:space="preserve">ML 3599 IR 40 (1818) – 4. Fus. Komp. Nr. 18 (Tarnow 29/09/1818)
</t>
        </r>
        <r>
          <rPr>
            <sz val="14"/>
            <color rgb="FF000000"/>
            <rFont val="Times New Roman"/>
            <family val="18"/>
          </rPr>
          <t xml:space="preserve">ML 3600/1 IR 40 (1819) – 4. Fus. Komp. Abgang (Jaroslau 19/09/1818)
</t>
        </r>
      </text>
    </comment>
    <comment ref="BH47" authorId="0" shapeId="0" xr:uid="{536029D6-436E-7F4E-BF29-6B1AD82C0521}">
      <text>
        <r>
          <rPr>
            <sz val="14"/>
            <color rgb="FF000000"/>
            <rFont val="Calibri"/>
            <family val="34"/>
          </rPr>
          <t xml:space="preserve">WGal FB 2 (1809-1810)
</t>
        </r>
        <r>
          <rPr>
            <sz val="14"/>
            <color rgb="FF000000"/>
            <rFont val="Calibri"/>
            <family val="34"/>
          </rPr>
          <t xml:space="preserve">IR 63 (1810-1815)
</t>
        </r>
        <r>
          <rPr>
            <sz val="14"/>
            <color rgb="FF000000"/>
            <rFont val="Calibri"/>
            <family val="34"/>
          </rPr>
          <t>IR 40 (1815-1818)</t>
        </r>
      </text>
    </comment>
    <comment ref="CR47" authorId="0" shapeId="0" xr:uid="{AEED3DE5-2FA2-BE4F-8B14-C680CEDD1BF2}">
      <text>
        <r>
          <rPr>
            <sz val="14"/>
            <color rgb="FF000000"/>
            <rFont val="Calibri"/>
            <family val="34"/>
          </rPr>
          <t xml:space="preserve">1809-1817: Jüdisch
</t>
        </r>
        <r>
          <rPr>
            <sz val="14"/>
            <color rgb="FF000000"/>
            <rFont val="Calibri"/>
            <family val="34"/>
          </rPr>
          <t>1818: Katolisch [Taufname Franz PODGURSKY]</t>
        </r>
      </text>
    </comment>
    <comment ref="BF48" authorId="0" shapeId="0" xr:uid="{D9258DC6-EB3A-BB49-BCE7-084037F06301}">
      <text>
        <r>
          <rPr>
            <sz val="14"/>
            <color rgb="FF000000"/>
            <rFont val="Times New Roman"/>
            <family val="18"/>
          </rPr>
          <t xml:space="preserve">10 </t>
        </r>
        <r>
          <rPr>
            <i/>
            <sz val="14"/>
            <color rgb="FF000000"/>
            <rFont val="Times New Roman"/>
            <family val="18"/>
          </rPr>
          <t>Jahre Franzosen gedient und von da entweichen</t>
        </r>
        <r>
          <rPr>
            <sz val="14"/>
            <color rgb="FF000000"/>
            <rFont val="Calibri"/>
            <family val="34"/>
          </rPr>
          <t xml:space="preserve">
</t>
        </r>
        <r>
          <rPr>
            <sz val="14"/>
            <color rgb="FF000000"/>
            <rFont val="Times New Roman"/>
            <family val="18"/>
          </rPr>
          <t xml:space="preserve">11/05/1809 </t>
        </r>
        <r>
          <rPr>
            <i/>
            <sz val="14"/>
            <color rgb="FF000000"/>
            <rFont val="Times New Roman"/>
            <family val="18"/>
          </rPr>
          <t xml:space="preserve">Zum Westgalizischen Frei Bat. Nr. 2 auf Werbgeld von 15Fl auf Kriegsdauer assentiert und zum 2. Komp. ‘St Delis’ eingeheilt </t>
        </r>
        <r>
          <rPr>
            <sz val="14"/>
            <color rgb="FF000000"/>
            <rFont val="Times New Roman"/>
            <family val="18"/>
          </rPr>
          <t>[AL May 1809 &amp; ST May 1809]</t>
        </r>
        <r>
          <rPr>
            <sz val="14"/>
            <color rgb="FF000000"/>
            <rFont val="Calibri"/>
            <family val="34"/>
          </rPr>
          <t xml:space="preserve">
</t>
        </r>
        <r>
          <rPr>
            <sz val="14"/>
            <color rgb="FF000000"/>
            <rFont val="Times New Roman"/>
            <family val="18"/>
          </rPr>
          <t xml:space="preserve">03/07/1809 </t>
        </r>
        <r>
          <rPr>
            <i/>
            <sz val="14"/>
            <color rgb="FF000000"/>
            <rFont val="Times New Roman"/>
            <family val="18"/>
          </rPr>
          <t xml:space="preserve">Desertiert </t>
        </r>
        <r>
          <rPr>
            <sz val="14"/>
            <color rgb="FF000000"/>
            <rFont val="Times New Roman"/>
            <family val="18"/>
          </rPr>
          <t>[ST July 1809]</t>
        </r>
      </text>
    </comment>
    <comment ref="BG48" authorId="0" shapeId="0" xr:uid="{118F07C5-12A4-2949-87F1-89F510C7DA91}">
      <text>
        <r>
          <rPr>
            <sz val="14"/>
            <color rgb="FF000000"/>
            <rFont val="Times New Roman"/>
            <family val="18"/>
          </rPr>
          <t>ML 10.831 WGal FB 2 (1809-10) – AL Nr. 156 (Warsaw 23/05/1809), ST May (Tischmanitz 10/10/1810), ST July (Brünn 20/12/1810)</t>
        </r>
        <r>
          <rPr>
            <sz val="14"/>
            <color rgb="FF000000"/>
            <rFont val="Calibri"/>
            <family val="34"/>
          </rPr>
          <t xml:space="preserve">
</t>
        </r>
      </text>
    </comment>
    <comment ref="BH48" authorId="0" shapeId="0" xr:uid="{52BB4107-D73B-3E4F-A8C3-43968C4AC603}">
      <text>
        <r>
          <rPr>
            <sz val="14"/>
            <color rgb="FF000000"/>
            <rFont val="Calibri"/>
            <family val="34"/>
          </rPr>
          <t>WGal FB 2 (1809)</t>
        </r>
      </text>
    </comment>
    <comment ref="BF49" authorId="0" shapeId="0" xr:uid="{C2D5F532-E66A-0145-9DBB-23A7FEEC5B48}">
      <text>
        <r>
          <rPr>
            <sz val="14"/>
            <color rgb="FF000000"/>
            <rFont val="Times New Roman"/>
            <family val="18"/>
          </rPr>
          <t xml:space="preserve">14/05/1809 </t>
        </r>
        <r>
          <rPr>
            <i/>
            <sz val="14"/>
            <color rgb="FF000000"/>
            <rFont val="Times New Roman"/>
            <family val="18"/>
          </rPr>
          <t xml:space="preserve">Zum Westgalizischen Frei Bat. Nr. 2 auf Werbgeld von 15Fl </t>
        </r>
        <r>
          <rPr>
            <sz val="14"/>
            <color rgb="FF000000"/>
            <rFont val="Times New Roman"/>
            <family val="18"/>
          </rPr>
          <t xml:space="preserve">[davon 8 Handgeld, 5 sonstige Unkosten und 2. Anbringsgeld] </t>
        </r>
        <r>
          <rPr>
            <i/>
            <sz val="14"/>
            <color rgb="FF000000"/>
            <rFont val="Times New Roman"/>
            <family val="18"/>
          </rPr>
          <t xml:space="preserve">auf Kriegsdauer zu Biala assentiert und zum 4. Komp. eingeheilt </t>
        </r>
        <r>
          <rPr>
            <sz val="14"/>
            <color rgb="FF000000"/>
            <rFont val="Times New Roman"/>
            <family val="18"/>
          </rPr>
          <t>[AL May 1809 &amp; ST May 1809]</t>
        </r>
        <r>
          <rPr>
            <sz val="14"/>
            <color rgb="FF000000"/>
            <rFont val="Calibri"/>
            <family val="34"/>
          </rPr>
          <t xml:space="preserve">
</t>
        </r>
        <r>
          <rPr>
            <sz val="14"/>
            <color rgb="FF000000"/>
            <rFont val="Times New Roman"/>
            <family val="18"/>
          </rPr>
          <t xml:space="preserve">15/05/1809 </t>
        </r>
        <r>
          <rPr>
            <i/>
            <sz val="14"/>
            <color rgb="FF000000"/>
            <rFont val="Times New Roman"/>
            <family val="18"/>
          </rPr>
          <t>Auf March Desertiert</t>
        </r>
        <r>
          <rPr>
            <sz val="14"/>
            <color rgb="FF000000"/>
            <rFont val="Times New Roman"/>
            <family val="18"/>
          </rPr>
          <t xml:space="preserve"> [ST May 1809] </t>
        </r>
      </text>
    </comment>
    <comment ref="BG49" authorId="0" shapeId="0" xr:uid="{390A83E5-E70E-6F4A-820E-D7C5F0582C55}">
      <text>
        <r>
          <rPr>
            <sz val="14"/>
            <color rgb="FF000000"/>
            <rFont val="Times New Roman"/>
            <family val="18"/>
          </rPr>
          <t>ML 10.831 WGal FB 2 (1809-10) – AL Nr. 6 (Biala 18/05/1809), ST May (Tischmanitz 10/10/1810)</t>
        </r>
        <r>
          <rPr>
            <sz val="14"/>
            <color rgb="FF000000"/>
            <rFont val="Calibri"/>
            <family val="34"/>
          </rPr>
          <t xml:space="preserve">
</t>
        </r>
      </text>
    </comment>
    <comment ref="BH49" authorId="0" shapeId="0" xr:uid="{7879DDF5-59C1-8142-8E94-164B22C0A59D}">
      <text>
        <r>
          <rPr>
            <sz val="14"/>
            <color rgb="FF000000"/>
            <rFont val="Calibri"/>
            <family val="34"/>
          </rPr>
          <t>WGal FB 2 (1809)</t>
        </r>
      </text>
    </comment>
    <comment ref="BF50" authorId="0" shapeId="0" xr:uid="{F4C1A9B3-B0CB-0B43-AAA7-7BE527CA743E}">
      <text>
        <r>
          <rPr>
            <sz val="14"/>
            <color rgb="FF000000"/>
            <rFont val="Times New Roman"/>
            <family val="18"/>
          </rPr>
          <t xml:space="preserve">03/03/1809 </t>
        </r>
        <r>
          <rPr>
            <i/>
            <sz val="14"/>
            <color rgb="FF000000"/>
            <rFont val="Times New Roman"/>
            <family val="18"/>
          </rPr>
          <t>zu Michow gegen 3Fl Handgeld assentiert</t>
        </r>
        <r>
          <rPr>
            <sz val="14"/>
            <color rgb="FF000000"/>
            <rFont val="Times New Roman"/>
            <family val="18"/>
          </rPr>
          <t xml:space="preserve"> [TL Sept 1809]</t>
        </r>
        <r>
          <rPr>
            <sz val="14"/>
            <color rgb="FF000000"/>
            <rFont val="Calibri"/>
            <family val="34"/>
          </rPr>
          <t xml:space="preserve">
</t>
        </r>
        <r>
          <rPr>
            <sz val="14"/>
            <color rgb="FF000000"/>
            <rFont val="Times New Roman"/>
            <family val="18"/>
          </rPr>
          <t xml:space="preserve">25/05/1809 </t>
        </r>
        <r>
          <rPr>
            <i/>
            <sz val="14"/>
            <color rgb="FF000000"/>
            <rFont val="Times New Roman"/>
            <family val="18"/>
          </rPr>
          <t>In Folge hoher Verordnung von Von IR 7 Wilhelm Schröder 2. Depot Komp. Zum WGal FB 2 transferiert und zum 5. Komp. Haupt CaptLt Franz Baron Drake eingeteilt</t>
        </r>
        <r>
          <rPr>
            <sz val="14"/>
            <color rgb="FF000000"/>
            <rFont val="Times New Roman"/>
            <family val="18"/>
          </rPr>
          <t xml:space="preserve"> [TL Sept 1809 &amp; ST May 1809]</t>
        </r>
        <r>
          <rPr>
            <sz val="14"/>
            <color rgb="FF000000"/>
            <rFont val="Calibri"/>
            <family val="34"/>
          </rPr>
          <t xml:space="preserve">
</t>
        </r>
        <r>
          <rPr>
            <sz val="14"/>
            <color rgb="FF000000"/>
            <rFont val="Times New Roman"/>
            <family val="18"/>
          </rPr>
          <t xml:space="preserve">26/07/1809 </t>
        </r>
        <r>
          <rPr>
            <i/>
            <sz val="14"/>
            <color rgb="FF000000"/>
            <rFont val="Times New Roman"/>
            <family val="18"/>
          </rPr>
          <t>Krank in Feldspitalspital mit auswärtiger Verpflegung</t>
        </r>
        <r>
          <rPr>
            <sz val="14"/>
            <color rgb="FF000000"/>
            <rFont val="Times New Roman"/>
            <family val="18"/>
          </rPr>
          <t xml:space="preserve"> [ST July 1809) </t>
        </r>
        <r>
          <rPr>
            <sz val="14"/>
            <color rgb="FF000000"/>
            <rFont val="Calibri"/>
            <family val="34"/>
          </rPr>
          <t xml:space="preserve">
</t>
        </r>
        <r>
          <rPr>
            <sz val="14"/>
            <color rgb="FF000000"/>
            <rFont val="Times New Roman"/>
            <family val="18"/>
          </rPr>
          <t xml:space="preserve">15/08/1809 </t>
        </r>
        <r>
          <rPr>
            <i/>
            <sz val="14"/>
            <color rgb="FF000000"/>
            <rFont val="Times New Roman"/>
            <family val="18"/>
          </rPr>
          <t>In loco Gestorben</t>
        </r>
        <r>
          <rPr>
            <sz val="14"/>
            <color rgb="FF000000"/>
            <rFont val="Times New Roman"/>
            <family val="18"/>
          </rPr>
          <t xml:space="preserve"> [ST August 1809]</t>
        </r>
      </text>
    </comment>
    <comment ref="BG50" authorId="0" shapeId="0" xr:uid="{9DFB7971-5D7F-4646-BC5A-E57D3C34B74C}">
      <text>
        <r>
          <rPr>
            <sz val="14"/>
            <color rgb="FF000000"/>
            <rFont val="Times New Roman"/>
            <family val="18"/>
          </rPr>
          <t xml:space="preserve">ML 10.831 WGal FB 2 (1809-10) – TL IR 7-&gt; WGal FB 2 Nr. 20 (Sternberg ??/09/1809), ST May (Tischmanitz 10/10/1810), ST July (Brünn 20/12/1810), ST August (Brünn 24/12/1810)
</t>
        </r>
      </text>
    </comment>
    <comment ref="BH50" authorId="0" shapeId="0" xr:uid="{442B9CCB-DEE5-6347-A3D9-9E722617E7CD}">
      <text>
        <r>
          <rPr>
            <sz val="14"/>
            <color rgb="FF000000"/>
            <rFont val="Calibri"/>
            <family val="34"/>
          </rPr>
          <t>WGal FB 2 (1809)</t>
        </r>
      </text>
    </comment>
    <comment ref="BF52" authorId="0" shapeId="0" xr:uid="{C2B2CA73-4822-F94B-B44A-D90E0EF57BA1}">
      <text>
        <r>
          <rPr>
            <sz val="14"/>
            <color rgb="FF000000"/>
            <rFont val="Times New Roman"/>
            <family val="18"/>
          </rPr>
          <t xml:space="preserve">03/03/1809 </t>
        </r>
        <r>
          <rPr>
            <i/>
            <sz val="14"/>
            <color rgb="FF000000"/>
            <rFont val="Times New Roman"/>
            <family val="18"/>
          </rPr>
          <t>Mit 10 jähriger Capitulation zu Kentj assentiert</t>
        </r>
        <r>
          <rPr>
            <sz val="14"/>
            <color rgb="FF000000"/>
            <rFont val="Times New Roman"/>
            <family val="18"/>
          </rPr>
          <t xml:space="preserve"> [TL May 1809]</t>
        </r>
        <r>
          <rPr>
            <sz val="14"/>
            <color rgb="FF000000"/>
            <rFont val="Calibri"/>
            <family val="34"/>
          </rPr>
          <t xml:space="preserve">
</t>
        </r>
        <r>
          <rPr>
            <sz val="14"/>
            <color rgb="FF000000"/>
            <rFont val="Times New Roman"/>
            <family val="18"/>
          </rPr>
          <t xml:space="preserve">01/06/1809 </t>
        </r>
        <r>
          <rPr>
            <i/>
            <sz val="14"/>
            <color rgb="FF000000"/>
            <rFont val="Times New Roman"/>
            <family val="18"/>
          </rPr>
          <t>Von IR 56 1. Depot Komp. von Haupt Wagner zum Egal FB 3 transferiert und zum 1. Fusilier Komp. Haupt Graf Neuhaus eingetheilt</t>
        </r>
        <r>
          <rPr>
            <sz val="14"/>
            <color rgb="FF000000"/>
            <rFont val="Times New Roman"/>
            <family val="18"/>
          </rPr>
          <t xml:space="preserve"> [TL May 1809 &amp; ST June 1809]</t>
        </r>
        <r>
          <rPr>
            <sz val="14"/>
            <color rgb="FF000000"/>
            <rFont val="Calibri"/>
            <family val="34"/>
          </rPr>
          <t xml:space="preserve">
</t>
        </r>
        <r>
          <rPr>
            <sz val="14"/>
            <color rgb="FF000000"/>
            <rFont val="Times New Roman"/>
            <family val="18"/>
          </rPr>
          <t>08/08/1809</t>
        </r>
        <r>
          <rPr>
            <i/>
            <sz val="14"/>
            <color rgb="FF000000"/>
            <rFont val="Times New Roman"/>
            <family val="18"/>
          </rPr>
          <t xml:space="preserve"> Desertiert</t>
        </r>
        <r>
          <rPr>
            <sz val="14"/>
            <color rgb="FF000000"/>
            <rFont val="Times New Roman"/>
            <family val="18"/>
          </rPr>
          <t xml:space="preserve"> [ST June 1809] </t>
        </r>
      </text>
    </comment>
    <comment ref="BG52" authorId="0" shapeId="0" xr:uid="{716CB253-A45A-484D-B454-CD96FCF02384}">
      <text>
        <r>
          <rPr>
            <sz val="14"/>
            <color rgb="FF000000"/>
            <rFont val="Times New Roman"/>
            <family val="18"/>
          </rPr>
          <t>ST 10.832 Egal FB 3 (1809-10) – TL IR 56-&gt; Egal FB 3 Nr. 1 (Teschen 28/11/1809), ST June (Brünn 12/10/1810), ST August (Tischnowitz 31/10/1810)</t>
        </r>
      </text>
    </comment>
    <comment ref="BH52" authorId="0" shapeId="0" xr:uid="{E39C54AE-BA4F-6F4E-BF75-E989B0A14646}">
      <text>
        <r>
          <rPr>
            <sz val="14"/>
            <color rgb="FF000000"/>
            <rFont val="Calibri"/>
            <family val="34"/>
          </rPr>
          <t xml:space="preserve">IR 56 (1809)
</t>
        </r>
        <r>
          <rPr>
            <sz val="14"/>
            <color rgb="FF000000"/>
            <rFont val="Calibri"/>
            <family val="34"/>
          </rPr>
          <t>EGal FB 3 (1809)</t>
        </r>
      </text>
    </comment>
    <comment ref="BF54" authorId="0" shapeId="0" xr:uid="{2D4F67F5-8B6B-5648-9912-372C4B7E42D1}">
      <text>
        <r>
          <rPr>
            <sz val="14"/>
            <color rgb="FF000000"/>
            <rFont val="Times New Roman"/>
            <family val="18"/>
          </rPr>
          <t xml:space="preserve">16/06/1809 </t>
        </r>
        <r>
          <rPr>
            <i/>
            <sz val="14"/>
            <color rgb="FF000000"/>
            <rFont val="Times New Roman"/>
            <family val="18"/>
          </rPr>
          <t>Zu dem Aufgebot hat sich freiwillig und ohneentgeld des Arerai ins k.k. Bucowiner Anrauten Corps zu Fuß als Wehrmann beigetreten und zum Czernowitz assentiert Beim Assentierung hat die folgende Armatur und Munition bekommen: Feuergewehr, Kugelzieher, 24 Scharfe Patronen und 2 Steine</t>
        </r>
        <r>
          <rPr>
            <sz val="14"/>
            <color rgb="FF000000"/>
            <rFont val="Times New Roman"/>
            <family val="18"/>
          </rPr>
          <t xml:space="preserve"> [AL 1809]</t>
        </r>
        <r>
          <rPr>
            <sz val="14"/>
            <color rgb="FF000000"/>
            <rFont val="Calibri"/>
            <family val="34"/>
          </rPr>
          <t xml:space="preserve">
</t>
        </r>
        <r>
          <rPr>
            <sz val="14"/>
            <color rgb="FF000000"/>
            <rFont val="Times New Roman"/>
            <family val="18"/>
          </rPr>
          <t xml:space="preserve">18/07/1809 </t>
        </r>
        <r>
          <rPr>
            <i/>
            <sz val="14"/>
            <color rgb="FF000000"/>
            <rFont val="Times New Roman"/>
            <family val="18"/>
          </rPr>
          <t xml:space="preserve">bey </t>
        </r>
        <r>
          <rPr>
            <b/>
            <i/>
            <sz val="14"/>
            <color rgb="FF000000"/>
            <rFont val="Times New Roman"/>
            <family val="18"/>
          </rPr>
          <t>Viniaska</t>
        </r>
        <r>
          <rPr>
            <i/>
            <sz val="14"/>
            <color rgb="FF000000"/>
            <rFont val="Times New Roman"/>
            <family val="18"/>
          </rPr>
          <t xml:space="preserve"> in Kriegsgefangenschaft gefallen</t>
        </r>
        <r>
          <rPr>
            <sz val="14"/>
            <color rgb="FF000000"/>
            <rFont val="Times New Roman"/>
            <family val="18"/>
          </rPr>
          <t xml:space="preserve"> [ST Juli 1809]</t>
        </r>
        <r>
          <rPr>
            <sz val="14"/>
            <color rgb="FF000000"/>
            <rFont val="Calibri"/>
            <family val="34"/>
          </rPr>
          <t xml:space="preserve">
</t>
        </r>
        <r>
          <rPr>
            <sz val="14"/>
            <color rgb="FF000000"/>
            <rFont val="+mn-lt"/>
            <charset val="1"/>
          </rPr>
          <t xml:space="preserve">
</t>
        </r>
      </text>
    </comment>
    <comment ref="BG54" authorId="0" shapeId="0" xr:uid="{D213CB63-0BC0-8443-B1AA-01D41A4205B6}">
      <text>
        <r>
          <rPr>
            <sz val="14"/>
            <color rgb="FF000000"/>
            <rFont val="Calibri"/>
            <family val="34"/>
          </rPr>
          <t xml:space="preserve">ML 10.835 Bukovianer FK (1809) – AL Nr. 13 (Czernowitz 20/06/1809), ST Juni (Czernowitz 29/04/1810, Juli (Czernowitz 27/06/1809)
</t>
        </r>
      </text>
    </comment>
    <comment ref="BH54" authorId="0" shapeId="0" xr:uid="{A842F8A9-FCC3-4D4B-87AF-0A7E5660FA2A}">
      <text>
        <r>
          <rPr>
            <sz val="14"/>
            <color rgb="FF000000"/>
            <rFont val="Calibri"/>
            <family val="34"/>
          </rPr>
          <t>Buccovianer Insurrections Truppen (1809)</t>
        </r>
      </text>
    </comment>
    <comment ref="BF55" authorId="0" shapeId="0" xr:uid="{B5FC1391-DD00-7548-AA86-33D5928A91BC}">
      <text>
        <r>
          <rPr>
            <sz val="14"/>
            <color rgb="FF000000"/>
            <rFont val="Times New Roman"/>
            <family val="18"/>
          </rPr>
          <t xml:space="preserve">16/11/1809 </t>
        </r>
        <r>
          <rPr>
            <i/>
            <sz val="14"/>
            <color rgb="FF000000"/>
            <rFont val="Times New Roman"/>
            <family val="18"/>
          </rPr>
          <t>Von Dominien a drey Gulden Handgeld aud die Kriegsdauer gestellt und ins k.k. Buccoviner Cavallerie Frey Corps 2. Jager Escadron in Czernowitz assentiert; hat mit seinem eigenen Pferd beigetreten</t>
        </r>
        <r>
          <rPr>
            <sz val="14"/>
            <color rgb="FF000000"/>
            <rFont val="Times New Roman"/>
            <family val="18"/>
          </rPr>
          <t xml:space="preserve"> [AL 1809]</t>
        </r>
        <r>
          <rPr>
            <sz val="14"/>
            <color rgb="FF000000"/>
            <rFont val="Calibri"/>
            <family val="34"/>
          </rPr>
          <t xml:space="preserve">
</t>
        </r>
        <r>
          <rPr>
            <sz val="14"/>
            <color rgb="FF000000"/>
            <rFont val="Times New Roman"/>
            <family val="18"/>
          </rPr>
          <t xml:space="preserve">20/02/1810 </t>
        </r>
        <r>
          <rPr>
            <i/>
            <sz val="14"/>
            <color rgb="FF000000"/>
            <rFont val="Times New Roman"/>
            <family val="18"/>
          </rPr>
          <t>In Folge hoher General Commando Verordnung det. Lemberg ddt. Den 20. Janner 810 als unentbehrlich bei der Wirtschaft als Kriegscapitulant mit Abschied entlassen</t>
        </r>
        <r>
          <rPr>
            <sz val="14"/>
            <color rgb="FF000000"/>
            <rFont val="Times New Roman"/>
            <family val="18"/>
          </rPr>
          <t xml:space="preserve"> [ST Feb 1810]</t>
        </r>
        <r>
          <rPr>
            <sz val="14"/>
            <color rgb="FF000000"/>
            <rFont val="Calibri"/>
            <family val="34"/>
          </rPr>
          <t xml:space="preserve">
</t>
        </r>
        <r>
          <rPr>
            <sz val="14"/>
            <color rgb="FF000000"/>
            <rFont val="+mn-lt"/>
            <charset val="1"/>
          </rPr>
          <t xml:space="preserve">
</t>
        </r>
      </text>
    </comment>
    <comment ref="BG55" authorId="0" shapeId="0" xr:uid="{8302D3A9-DCBA-6C4A-A8C6-0FF14A1067D4}">
      <text>
        <r>
          <rPr>
            <sz val="14"/>
            <color rgb="FF000000"/>
            <rFont val="Calibri"/>
            <family val="34"/>
          </rPr>
          <t xml:space="preserve">ML 10.835 Bukovianer FK (1809) – AL Nr. 13 (Czernowitz 27/11/1809) &amp; ST Nov (Czernowitz 23/02/1811)
</t>
        </r>
        <r>
          <rPr>
            <sz val="14"/>
            <color rgb="FF000000"/>
            <rFont val="Calibri"/>
            <family val="34"/>
          </rPr>
          <t xml:space="preserve">ML 10.836 Bukovianer FK (1810) – ST Feb (Czernowitz 01/03/1811)
</t>
        </r>
      </text>
    </comment>
    <comment ref="BH55" authorId="0" shapeId="0" xr:uid="{3CA5F40A-E705-AE43-8A54-D91BDA511A02}">
      <text>
        <r>
          <rPr>
            <sz val="14"/>
            <color rgb="FF000000"/>
            <rFont val="Calibri"/>
            <family val="34"/>
          </rPr>
          <t>Buccovianer Kavalleriei FK  (1809-1810)</t>
        </r>
      </text>
    </comment>
  </commentList>
</comments>
</file>

<file path=xl/sharedStrings.xml><?xml version="1.0" encoding="utf-8"?>
<sst xmlns="http://schemas.openxmlformats.org/spreadsheetml/2006/main" count="590" uniqueCount="318">
  <si>
    <t>NAME</t>
  </si>
  <si>
    <t>Gebürtig aus</t>
  </si>
  <si>
    <t>Inländer</t>
  </si>
  <si>
    <t>Ausländer</t>
  </si>
  <si>
    <t>Geburts- Jahr</t>
  </si>
  <si>
    <t>Stand</t>
  </si>
  <si>
    <t>Profession</t>
  </si>
  <si>
    <t>Weiber</t>
  </si>
  <si>
    <t>Kinder</t>
  </si>
  <si>
    <t>Maß</t>
  </si>
  <si>
    <t>Last Unit</t>
  </si>
  <si>
    <t>Units</t>
  </si>
  <si>
    <t>Conscript</t>
  </si>
  <si>
    <t>Reservist</t>
  </si>
  <si>
    <t>Landwehr</t>
  </si>
  <si>
    <t>Replacement</t>
  </si>
  <si>
    <t>Volunteer</t>
  </si>
  <si>
    <t>Reengaged</t>
  </si>
  <si>
    <t>Line Infantry</t>
  </si>
  <si>
    <t>Light Inf</t>
  </si>
  <si>
    <t>Grenzer</t>
  </si>
  <si>
    <t>Garrison Reg/Bat</t>
  </si>
  <si>
    <t>Cavalry</t>
  </si>
  <si>
    <t>Grenz Cordon</t>
  </si>
  <si>
    <t>Fuhrwesen</t>
  </si>
  <si>
    <t xml:space="preserve">BRD/MÖK </t>
  </si>
  <si>
    <t>Invaliden Haus?</t>
  </si>
  <si>
    <t>Marine</t>
  </si>
  <si>
    <t>NCO?</t>
  </si>
  <si>
    <t>Grenadier?</t>
  </si>
  <si>
    <t>Musician?</t>
  </si>
  <si>
    <t>Fourierschutz/Privat Diener</t>
  </si>
  <si>
    <t>Artzt?</t>
  </si>
  <si>
    <t>Professionist?</t>
  </si>
  <si>
    <t>Transferred?</t>
  </si>
  <si>
    <t>Prisoner?</t>
  </si>
  <si>
    <t>Deserted?</t>
  </si>
  <si>
    <t>Revertiert</t>
  </si>
  <si>
    <t>Attrapiert?</t>
  </si>
  <si>
    <t>Converted?</t>
  </si>
  <si>
    <t>Ort</t>
  </si>
  <si>
    <t>Land</t>
  </si>
  <si>
    <t>Schuch</t>
  </si>
  <si>
    <t>Zoll</t>
  </si>
  <si>
    <t>Strich</t>
  </si>
  <si>
    <t>Freycorps/ Freiwillige?</t>
  </si>
  <si>
    <t>Leichte Bat?</t>
  </si>
  <si>
    <t>Jäger/Feldjäger?</t>
  </si>
  <si>
    <t>Ledig</t>
  </si>
  <si>
    <t>Ohne</t>
  </si>
  <si>
    <t>F</t>
  </si>
  <si>
    <t>DISCHARGED</t>
  </si>
  <si>
    <t>Serves?/ Final Fate</t>
  </si>
  <si>
    <t>Service Record</t>
  </si>
  <si>
    <t>Date</t>
  </si>
  <si>
    <t>Absent</t>
  </si>
  <si>
    <t>Präsent</t>
  </si>
  <si>
    <t>Außer der Militär-Jurisdiktion</t>
  </si>
  <si>
    <t>Knaben</t>
  </si>
  <si>
    <t>Mädchen</t>
  </si>
  <si>
    <t>Kries</t>
  </si>
  <si>
    <t>Conduite</t>
  </si>
  <si>
    <t>Defekten</t>
  </si>
  <si>
    <t>Artillery/Technial Troops</t>
  </si>
  <si>
    <t>Cadet/ Officer?</t>
  </si>
  <si>
    <t>COLOUR KEY</t>
  </si>
  <si>
    <t>Primary Sources</t>
  </si>
  <si>
    <t>Hospitals/ Sanitary Units</t>
  </si>
  <si>
    <t>Final Fate</t>
  </si>
  <si>
    <t>JEWISH?</t>
  </si>
  <si>
    <t>01/04/1809</t>
  </si>
  <si>
    <t xml:space="preserve">Legion EH Carl 2nd Battalion </t>
  </si>
  <si>
    <t>ALTSCHUL, Marcus</t>
  </si>
  <si>
    <t>Praha, (Czech Republic)</t>
  </si>
  <si>
    <t>Rakonitz</t>
  </si>
  <si>
    <t>Böhmen</t>
  </si>
  <si>
    <t>06/03/1809</t>
  </si>
  <si>
    <t>23/01/1810</t>
  </si>
  <si>
    <t>Leg EH Carl</t>
  </si>
  <si>
    <t>Als freiwillig auf die Kriegsdauer gestellte mit Abschied Entlassen</t>
  </si>
  <si>
    <t>RETILER, Elias</t>
  </si>
  <si>
    <t>Zlonice, Czech Republic</t>
  </si>
  <si>
    <t>STIPEAN, Franz</t>
  </si>
  <si>
    <t>Fischer</t>
  </si>
  <si>
    <t>16/02/1810</t>
  </si>
  <si>
    <t>Beřovice (Czech Republic)</t>
  </si>
  <si>
    <t>LEDERER, Wolf</t>
  </si>
  <si>
    <t>Kusow</t>
  </si>
  <si>
    <t>Křivoklát, Czech Republic</t>
  </si>
  <si>
    <t>11/03/1809</t>
  </si>
  <si>
    <t>25/01/1810</t>
  </si>
  <si>
    <t>SAND, Samuel</t>
  </si>
  <si>
    <t>Svinařov (Slabce) Czech Republic</t>
  </si>
  <si>
    <t>Slabce, Czech Republic</t>
  </si>
  <si>
    <t>10/02/1810</t>
  </si>
  <si>
    <t>LEVITUS, Jacob</t>
  </si>
  <si>
    <t>Stašov (Beroun District), Czech Republic</t>
  </si>
  <si>
    <t>Lochovice, Czech Republic</t>
  </si>
  <si>
    <t>Beraun</t>
  </si>
  <si>
    <t>18/03/1809</t>
  </si>
  <si>
    <t>HOFFMANN, Simon</t>
  </si>
  <si>
    <t>Žebrákov, Zduchovice, Czech Republic</t>
  </si>
  <si>
    <t>Rotgerber</t>
  </si>
  <si>
    <t xml:space="preserve">Legion EH Carl 3rd Battalion </t>
  </si>
  <si>
    <t>CZERWENKA, Joseph</t>
  </si>
  <si>
    <t>Luže, Czech Republic</t>
  </si>
  <si>
    <t>Košumberk, Luže, Czech Republic</t>
  </si>
  <si>
    <t>Chrudim</t>
  </si>
  <si>
    <t>16/03/1809</t>
  </si>
  <si>
    <t>24/01/1810</t>
  </si>
  <si>
    <t>FRIEDLER, Marcus</t>
  </si>
  <si>
    <t>Úsov, Czech Republic</t>
  </si>
  <si>
    <t>Olmütz</t>
  </si>
  <si>
    <t>Mähren</t>
  </si>
  <si>
    <t>24/03/1809</t>
  </si>
  <si>
    <t>31/10/1810</t>
  </si>
  <si>
    <t xml:space="preserve">Legion EH Carl 4th Battalion </t>
  </si>
  <si>
    <t>WEHNER/WIENER, Isak</t>
  </si>
  <si>
    <t>Radouň (Štětí), Czech Republic</t>
  </si>
  <si>
    <t>Liběchov, Czech Republic</t>
  </si>
  <si>
    <t>Leitmeritz</t>
  </si>
  <si>
    <t>Fleischhacker</t>
  </si>
  <si>
    <t>23/04/1809</t>
  </si>
  <si>
    <t>MIA</t>
  </si>
  <si>
    <r>
      <t xml:space="preserve">Während der Marche vermisst </t>
    </r>
    <r>
      <rPr>
        <b/>
        <sz val="12"/>
        <color theme="1"/>
        <rFont val="Calibri"/>
        <family val="2"/>
        <scheme val="minor"/>
      </rPr>
      <t>[Schlacht bei Regensburg]</t>
    </r>
  </si>
  <si>
    <t>WOLF, Abraham</t>
  </si>
  <si>
    <t>Postoloprty, Czech Republic</t>
  </si>
  <si>
    <t>Saatz</t>
  </si>
  <si>
    <t>Gläßer</t>
  </si>
  <si>
    <t>26/03/1809</t>
  </si>
  <si>
    <t>Herrschaft</t>
  </si>
  <si>
    <t>HOCH, Herschel</t>
  </si>
  <si>
    <t>Ost Galizien</t>
  </si>
  <si>
    <t>31/07/1811</t>
  </si>
  <si>
    <t>IR 17</t>
  </si>
  <si>
    <t>?</t>
  </si>
  <si>
    <t>Als Ausgediente Inländer Capitulant mit Abschied entlassen</t>
  </si>
  <si>
    <t xml:space="preserve">Legion EH Carl 5th Battalion </t>
  </si>
  <si>
    <t>22/30/1809</t>
  </si>
  <si>
    <t>HIRSCH, Jacob</t>
  </si>
  <si>
    <t>Holešov, Czech Republic</t>
  </si>
  <si>
    <t>Hradisch</t>
  </si>
  <si>
    <t>07/03/1809</t>
  </si>
  <si>
    <t>31/01/1810</t>
  </si>
  <si>
    <t xml:space="preserve">Legion EH Carl 6th Battalion </t>
  </si>
  <si>
    <t>Soldier left service</t>
  </si>
  <si>
    <t>Hrabivnytsya, Ukraine</t>
  </si>
  <si>
    <t>Sambor</t>
  </si>
  <si>
    <t>16/11/1799</t>
  </si>
  <si>
    <t>KLEIN, Abraham</t>
  </si>
  <si>
    <t>Nesměřice, Czech Republic</t>
  </si>
  <si>
    <t>Unter Kralowitz</t>
  </si>
  <si>
    <t>Czaslau</t>
  </si>
  <si>
    <t>31/08/1810</t>
  </si>
  <si>
    <t>MISSING</t>
  </si>
  <si>
    <t xml:space="preserve">Als ein in der Armee Spitalern Unwissend verloren </t>
  </si>
  <si>
    <t>LANGER, Joseph</t>
  </si>
  <si>
    <t>Tichlawitz</t>
  </si>
  <si>
    <t xml:space="preserve">Gierschabek Viertel </t>
  </si>
  <si>
    <t>04/05/1809</t>
  </si>
  <si>
    <t>POW</t>
  </si>
  <si>
    <t>JOSSEL, Hermann</t>
  </si>
  <si>
    <t>Jičín, Czech Republic</t>
  </si>
  <si>
    <t>Graf Trautmansdorf</t>
  </si>
  <si>
    <t>Bidschow</t>
  </si>
  <si>
    <t>17/04/1809</t>
  </si>
  <si>
    <t>19/12/1809</t>
  </si>
  <si>
    <t xml:space="preserve">Auf dem Marsch von Hustanowitz nach Kremsier unwissend verloren </t>
  </si>
  <si>
    <t xml:space="preserve">Moravo-Silesian Volunteers 1st Battalion </t>
  </si>
  <si>
    <t>PIVAT, Salomon</t>
  </si>
  <si>
    <t>Tampowitz</t>
  </si>
  <si>
    <t>Ždánice, Czech Republic</t>
  </si>
  <si>
    <t>Brünn</t>
  </si>
  <si>
    <t>01/03/1809</t>
  </si>
  <si>
    <t>06/05/1809</t>
  </si>
  <si>
    <t>Mäh-Sch FW</t>
  </si>
  <si>
    <t>FUCHS, Joseph</t>
  </si>
  <si>
    <t>Kolín, Czech Republic</t>
  </si>
  <si>
    <t>Kaurim</t>
  </si>
  <si>
    <t>16/03/1810</t>
  </si>
  <si>
    <t>Als Ausgedienter Kriegscapitulant mit Abschied entlassen</t>
  </si>
  <si>
    <t>PRAGER, Moyses</t>
  </si>
  <si>
    <t>Třebíč, Czech Republic</t>
  </si>
  <si>
    <t>Iglau</t>
  </si>
  <si>
    <t>17/02/1810</t>
  </si>
  <si>
    <t xml:space="preserve">[Während Retirade] Unwissend verloren </t>
  </si>
  <si>
    <t xml:space="preserve">Moravo-Silesian Volunteers 2nd Battalion </t>
  </si>
  <si>
    <t>BERGER, Maximilian</t>
  </si>
  <si>
    <t>Teplice, Czech Republic</t>
  </si>
  <si>
    <t>27/04/1809</t>
  </si>
  <si>
    <t>31/03/1809</t>
  </si>
  <si>
    <t xml:space="preserve">Moravo-Silesian Volunteers 3rd Battalion </t>
  </si>
  <si>
    <t>Joined the Unit on</t>
  </si>
  <si>
    <t>BROD, Isak</t>
  </si>
  <si>
    <t>Brno-Starý Lískovec, Czech Republic</t>
  </si>
  <si>
    <t>16/04/1809</t>
  </si>
  <si>
    <t>28/02/1810</t>
  </si>
  <si>
    <t xml:space="preserve">In Folge der Vorgeführten Verordnung P. 406 Mit Abschied entlassen </t>
  </si>
  <si>
    <t>BAUER, Moises</t>
  </si>
  <si>
    <t>09/07/1809</t>
  </si>
  <si>
    <r>
      <t xml:space="preserve">In Rückzug gegen </t>
    </r>
    <r>
      <rPr>
        <b/>
        <sz val="12"/>
        <color theme="1"/>
        <rFont val="Calibri"/>
        <family val="2"/>
        <scheme val="minor"/>
      </rPr>
      <t>Znaym</t>
    </r>
    <r>
      <rPr>
        <sz val="12"/>
        <color theme="1"/>
        <rFont val="Calibri"/>
        <family val="2"/>
        <scheme val="minor"/>
      </rPr>
      <t xml:space="preserve"> unwissend verloren </t>
    </r>
  </si>
  <si>
    <r>
      <t xml:space="preserve">Auf der </t>
    </r>
    <r>
      <rPr>
        <b/>
        <sz val="12"/>
        <color theme="1"/>
        <rFont val="Calibri"/>
        <family val="2"/>
        <scheme val="minor"/>
      </rPr>
      <t xml:space="preserve">Rückzug von Ebersberg </t>
    </r>
    <r>
      <rPr>
        <sz val="12"/>
        <color theme="1"/>
        <rFont val="Calibri"/>
        <family val="2"/>
        <scheme val="minor"/>
      </rPr>
      <t xml:space="preserve">in die Kriegsgefangenschaft geraten </t>
    </r>
  </si>
  <si>
    <t>FEIN, Elias</t>
  </si>
  <si>
    <t>VEITH, Isak</t>
  </si>
  <si>
    <t>GURMANN, Jacob/ DUCHMANN, Jankew</t>
  </si>
  <si>
    <t>Pistyn, Ukaine</t>
  </si>
  <si>
    <t>Stanislau</t>
  </si>
  <si>
    <t>27/10/1809</t>
  </si>
  <si>
    <t>15/08/1810</t>
  </si>
  <si>
    <t>IR 41</t>
  </si>
  <si>
    <t>East Galician 1st Free Battalion</t>
  </si>
  <si>
    <t>Gegen Konzession [auf Steuerbare Wirtschaft] mit Abschied entlassen</t>
  </si>
  <si>
    <t>HAMMER, Aron</t>
  </si>
  <si>
    <t>Rawa-Ruska, Ukraine</t>
  </si>
  <si>
    <t>Zolkiew</t>
  </si>
  <si>
    <t>13/12/1809</t>
  </si>
  <si>
    <t>EGal FB 1</t>
  </si>
  <si>
    <t>Gegen Stellung auf Steuerbare Wirtschaft mit Abschied Entlassen</t>
  </si>
  <si>
    <t>KESSLER, Salomon/Samuel</t>
  </si>
  <si>
    <t>Kuty,Ukraine</t>
  </si>
  <si>
    <t>29/10/1809</t>
  </si>
  <si>
    <t>31/12/1809</t>
  </si>
  <si>
    <t>SCHOLUM, Wolf</t>
  </si>
  <si>
    <t>05/01/1810</t>
  </si>
  <si>
    <t>YES</t>
  </si>
  <si>
    <t>MFWK</t>
  </si>
  <si>
    <t>P</t>
  </si>
  <si>
    <t>Transferred to MFWK</t>
  </si>
  <si>
    <t>16/11/1809</t>
  </si>
  <si>
    <t>West Galician 2nd Free Battalion</t>
  </si>
  <si>
    <t>BEER/BERDON, Michael</t>
  </si>
  <si>
    <t>Biala</t>
  </si>
  <si>
    <t>West Galizien</t>
  </si>
  <si>
    <t>Verheiratet</t>
  </si>
  <si>
    <t>21/06/1809</t>
  </si>
  <si>
    <t>DESERTED</t>
  </si>
  <si>
    <t xml:space="preserve">WGal FB 2 </t>
  </si>
  <si>
    <t>Desertiert</t>
  </si>
  <si>
    <t>21/03/1809</t>
  </si>
  <si>
    <t>GUTMANN, Markus</t>
  </si>
  <si>
    <t>Gdansk, Poland</t>
  </si>
  <si>
    <t>Danzig</t>
  </si>
  <si>
    <t>22/04/1809</t>
  </si>
  <si>
    <t>Mit Viaticum und Abschied entlassen</t>
  </si>
  <si>
    <t>Prostějov, Czech Republic</t>
  </si>
  <si>
    <t>IR 1</t>
  </si>
  <si>
    <t>BEITEL/PEUTEL, Isak</t>
  </si>
  <si>
    <t>12/08/1805</t>
  </si>
  <si>
    <t>25/08/1810</t>
  </si>
  <si>
    <t>Als auf Marsch verbliene Unwissend Verloren in Abgang</t>
  </si>
  <si>
    <t>REISZ, Johann/ RUSZ, Joachim</t>
  </si>
  <si>
    <t>Mainz, Germany</t>
  </si>
  <si>
    <t>Mainz</t>
  </si>
  <si>
    <t>11/05/1809</t>
  </si>
  <si>
    <t>03/07/1809</t>
  </si>
  <si>
    <t>LEWEK, Abraham</t>
  </si>
  <si>
    <t>Mikolaiew</t>
  </si>
  <si>
    <t>Süd Preußen</t>
  </si>
  <si>
    <t>14/05/1809</t>
  </si>
  <si>
    <t>15/05/1809</t>
  </si>
  <si>
    <t>Auf Marsch desertiert</t>
  </si>
  <si>
    <t>TAUB, David</t>
  </si>
  <si>
    <t>Nowamiesta</t>
  </si>
  <si>
    <t>Krakau</t>
  </si>
  <si>
    <t>15/08/1809</t>
  </si>
  <si>
    <t>DIED</t>
  </si>
  <si>
    <t>In Loco Gestorben</t>
  </si>
  <si>
    <t>25/05/1809</t>
  </si>
  <si>
    <t>East Galician 3rd Free Battalion</t>
  </si>
  <si>
    <t>BLUM, Herschel/Israel</t>
  </si>
  <si>
    <t>Pińczów, Poland</t>
  </si>
  <si>
    <t>08/08/1809</t>
  </si>
  <si>
    <t>EGal FB 3</t>
  </si>
  <si>
    <t>01/06/1809</t>
  </si>
  <si>
    <t xml:space="preserve">HÖFFLING, Marcus </t>
  </si>
  <si>
    <t>Sadhora, Ukraine</t>
  </si>
  <si>
    <t>Czernowitz</t>
  </si>
  <si>
    <t>Bukowina</t>
  </si>
  <si>
    <t>16/06/1809</t>
  </si>
  <si>
    <t>18/07/1809</t>
  </si>
  <si>
    <t>FK Buk</t>
  </si>
  <si>
    <r>
      <t xml:space="preserve">bey </t>
    </r>
    <r>
      <rPr>
        <b/>
        <sz val="12"/>
        <color theme="1"/>
        <rFont val="Calibri"/>
        <family val="2"/>
        <scheme val="minor"/>
      </rPr>
      <t>Viniaska</t>
    </r>
    <r>
      <rPr>
        <sz val="12"/>
        <color theme="1"/>
        <rFont val="Calibri"/>
        <family val="2"/>
        <scheme val="minor"/>
      </rPr>
      <t xml:space="preserve"> in Kriegsgefangenschaft gefallen </t>
    </r>
  </si>
  <si>
    <t>LEDERER, Salomon</t>
  </si>
  <si>
    <t>Chernivtsi, Ukraine</t>
  </si>
  <si>
    <t>20/02/1810</t>
  </si>
  <si>
    <t xml:space="preserve">Als unentbehrlich bei der Wirtschaft als Kriegscapitulant mit Abschied entlassen </t>
  </si>
  <si>
    <t>SCHALA/ Jacob/Joseph/ PODGURSKY, Franz</t>
  </si>
  <si>
    <t>Podgórze (Kraków), Poland</t>
  </si>
  <si>
    <t>Marquer</t>
  </si>
  <si>
    <t>25/04/1809</t>
  </si>
  <si>
    <t>25/12/1818</t>
  </si>
  <si>
    <t>IR 40</t>
  </si>
  <si>
    <t xml:space="preserve">als ausgedienter Ausländischer Capitulant mit Abschied entlassen </t>
  </si>
  <si>
    <t>Bochina</t>
  </si>
  <si>
    <t>Komarówka Podlaska, Poland</t>
  </si>
  <si>
    <t>LEIB, Herschel</t>
  </si>
  <si>
    <t>Kodeń, Poland</t>
  </si>
  <si>
    <t>IR 24</t>
  </si>
  <si>
    <t>Auf dem Marsch bis Dorf Komorowitz Desertiert</t>
  </si>
  <si>
    <t>NOSEN, Hirsch</t>
  </si>
  <si>
    <t>Biała Podlaska Poland</t>
  </si>
  <si>
    <t>Gegen Renuncierung mit Abschied entlassen</t>
  </si>
  <si>
    <t>DICKER, Lewi [Lorenz]</t>
  </si>
  <si>
    <t>Maheriv, Ukraine</t>
  </si>
  <si>
    <t>12/10/1808</t>
  </si>
  <si>
    <t>31/08/1812</t>
  </si>
  <si>
    <t>Von Urlaub desertiert</t>
  </si>
  <si>
    <t>Service in other units of the Habsburg army</t>
  </si>
  <si>
    <r>
      <t xml:space="preserve">Member of the </t>
    </r>
    <r>
      <rPr>
        <i/>
        <sz val="14"/>
        <color theme="1"/>
        <rFont val="Calibri"/>
        <family val="2"/>
        <scheme val="minor"/>
      </rPr>
      <t>Landwehr</t>
    </r>
  </si>
  <si>
    <t>Transfer between different army units</t>
  </si>
  <si>
    <t>Kanonenkreuz?</t>
  </si>
  <si>
    <t>Member of the army reserve</t>
  </si>
  <si>
    <t>Service in a foreign army</t>
  </si>
  <si>
    <t>Service in a volunteer formation  at some point during the calendar year</t>
  </si>
  <si>
    <t>Enlisted in a volunteer formation during the 1809 War</t>
  </si>
  <si>
    <t>Converted to the Metric system</t>
  </si>
  <si>
    <t>Was Attached to EGal FB 1</t>
  </si>
  <si>
    <r>
      <t xml:space="preserve">Bukowina Insurrection/Cavalry </t>
    </r>
    <r>
      <rPr>
        <b/>
        <i/>
        <sz val="12"/>
        <color theme="1"/>
        <rFont val="Calibri"/>
        <family val="2"/>
        <scheme val="minor"/>
      </rPr>
      <t>Freikorps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</si>
</sst>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2"/>
      <color theme="1"/>
      <name val="Calibri"/>
      <family val="2"/>
      <scheme val="minor"/>
    </font>
    <font>
      <b/>
      <sz val="12"/>
      <color theme="1"/>
      <name val="Calibri"/>
      <family val="2"/>
      <scheme val="minor"/>
    </font>
    <font>
      <u/>
      <sz val="12"/>
      <color theme="10"/>
      <name val="Calibri"/>
      <family val="2"/>
      <scheme val="minor"/>
    </font>
    <font>
      <b/>
      <sz val="14"/>
      <color theme="1"/>
      <name val="Calibri"/>
      <family val="2"/>
      <scheme val="minor"/>
    </font>
    <font>
      <i/>
      <sz val="12"/>
      <color theme="1"/>
      <name val="Calibri"/>
      <family val="2"/>
      <scheme val="minor"/>
    </font>
    <font>
      <sz val="14"/>
      <color rgb="FF000000"/>
      <name val="Calibri"/>
      <family val="34"/>
    </font>
    <font>
      <sz val="14"/>
      <color rgb="FF000000"/>
      <name val="Times New Roman"/>
      <family val="18"/>
    </font>
    <font>
      <i/>
      <sz val="14"/>
      <color rgb="FF000000"/>
      <name val="Times New Roman"/>
      <family val="18"/>
    </font>
    <font>
      <sz val="14"/>
      <color rgb="FFFF0000"/>
      <name val="Times New Roman"/>
      <family val="18"/>
    </font>
    <font>
      <i/>
      <sz val="14"/>
      <color rgb="FFFF0000"/>
      <name val="Times New Roman"/>
      <family val="18"/>
    </font>
    <font>
      <sz val="14"/>
      <color rgb="FF000000"/>
      <name val="Calibri"/>
      <family val="2"/>
    </font>
    <font>
      <b/>
      <i/>
      <sz val="14"/>
      <color theme="1"/>
      <name val="Calibri"/>
      <family val="2"/>
      <scheme val="minor"/>
    </font>
    <font>
      <b/>
      <i/>
      <sz val="12"/>
      <color theme="1"/>
      <name val="Calibri"/>
      <family val="2"/>
      <scheme val="minor"/>
    </font>
    <font>
      <b/>
      <sz val="16"/>
      <color theme="1"/>
      <name val="Calibri"/>
      <family val="2"/>
      <scheme val="minor"/>
    </font>
    <font>
      <b/>
      <sz val="30"/>
      <color theme="1"/>
      <name val="Calibri"/>
      <family val="2"/>
      <scheme val="minor"/>
    </font>
    <font>
      <sz val="14"/>
      <color theme="1"/>
      <name val="Calibri"/>
      <family val="2"/>
      <scheme val="minor"/>
    </font>
    <font>
      <b/>
      <u/>
      <sz val="14"/>
      <color theme="10"/>
      <name val="Calibri"/>
      <family val="2"/>
      <scheme val="minor"/>
    </font>
    <font>
      <i/>
      <sz val="14"/>
      <color rgb="FF000000"/>
      <name val="Calibri"/>
      <family val="34"/>
    </font>
    <font>
      <b/>
      <sz val="14"/>
      <color rgb="FF000000"/>
      <name val="Calibri"/>
      <family val="34"/>
    </font>
    <font>
      <b/>
      <i/>
      <sz val="18"/>
      <color rgb="FF000000"/>
      <name val="Calibri"/>
      <family val="34"/>
    </font>
    <font>
      <b/>
      <i/>
      <sz val="18"/>
      <color rgb="FF000000"/>
      <name val="+mn-lt"/>
      <charset val="1"/>
    </font>
    <font>
      <b/>
      <i/>
      <sz val="18"/>
      <color rgb="FF000000"/>
      <name val="Calibri"/>
      <family val="2"/>
    </font>
    <font>
      <sz val="14"/>
      <color rgb="FF000000"/>
      <name val="+mn-lt"/>
      <charset val="1"/>
    </font>
    <font>
      <i/>
      <sz val="14"/>
      <color rgb="FF000000"/>
      <name val="Calibri"/>
      <family val="2"/>
    </font>
    <font>
      <sz val="10"/>
      <color rgb="FF000000"/>
      <name val="Calibri"/>
      <family val="2"/>
    </font>
    <font>
      <b/>
      <sz val="18"/>
      <color theme="1"/>
      <name val="Calibri"/>
      <family val="2"/>
      <scheme val="minor"/>
    </font>
    <font>
      <b/>
      <sz val="18"/>
      <color rgb="FF000000"/>
      <name val="+mn-lt"/>
      <charset val="1"/>
    </font>
    <font>
      <b/>
      <i/>
      <sz val="16"/>
      <color theme="1"/>
      <name val="Calibri"/>
      <family val="2"/>
      <scheme val="minor"/>
    </font>
    <font>
      <b/>
      <sz val="14"/>
      <color rgb="FF000000"/>
      <name val="Times New Roman"/>
      <family val="18"/>
    </font>
    <font>
      <i/>
      <sz val="14"/>
      <color theme="1"/>
      <name val="Calibri"/>
      <family val="2"/>
      <scheme val="minor"/>
    </font>
    <font>
      <i/>
      <sz val="12"/>
      <name val="Calibri"/>
      <family val="2"/>
      <scheme val="minor"/>
    </font>
    <font>
      <b/>
      <i/>
      <sz val="14"/>
      <color rgb="FF000000"/>
      <name val="Times New Roman"/>
      <family val="18"/>
    </font>
    <font>
      <sz val="14"/>
      <color rgb="FF000000"/>
      <name val="Aptos"/>
      <family val="34"/>
    </font>
    <font>
      <b/>
      <sz val="12"/>
      <name val="Calibri"/>
      <family val="2"/>
      <scheme val="minor"/>
    </font>
    <font>
      <sz val="14"/>
      <color rgb="FFFF0000"/>
      <name val="Calibri"/>
      <family val="34"/>
    </font>
    <font>
      <sz val="12"/>
      <color rgb="FF000000"/>
      <name val="+mn-lt"/>
      <charset val="1"/>
    </font>
    <font>
      <b/>
      <sz val="10"/>
      <color rgb="FF000000"/>
      <name val="Calibri"/>
      <family val="2"/>
      <scheme val="minor"/>
    </font>
    <font>
      <sz val="10"/>
      <color rgb="FF000000"/>
      <name val="Calibri"/>
      <family val="2"/>
      <scheme val="minor"/>
    </font>
  </fonts>
  <fills count="9">
    <fill>
      <patternFill patternType="none"/>
    </fill>
    <fill>
      <patternFill patternType="gray125"/>
    </fill>
    <fill>
      <patternFill patternType="solid">
        <fgColor rgb="FF00B0F0"/>
        <bgColor indexed="64"/>
      </patternFill>
    </fill>
    <fill>
      <patternFill patternType="solid">
        <fgColor rgb="FFFF16DF"/>
        <bgColor indexed="64"/>
      </patternFill>
    </fill>
    <fill>
      <patternFill patternType="solid">
        <fgColor rgb="FFFFC000"/>
        <bgColor indexed="64"/>
      </patternFill>
    </fill>
    <fill>
      <patternFill patternType="solid">
        <fgColor rgb="FF92D050"/>
        <bgColor indexed="64"/>
      </patternFill>
    </fill>
    <fill>
      <patternFill patternType="solid">
        <fgColor rgb="FFFFFF00"/>
        <bgColor indexed="64"/>
      </patternFill>
    </fill>
    <fill>
      <patternFill patternType="solid">
        <fgColor rgb="FF002060"/>
        <bgColor indexed="64"/>
      </patternFill>
    </fill>
    <fill>
      <patternFill patternType="solid">
        <fgColor theme="0" tint="-0.249977111117893"/>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9">
    <xf numFmtId="0" fontId="0" fillId="0" borderId="0" xfId="0"/>
    <xf numFmtId="0" fontId="1" fillId="0" borderId="0" xfId="0" applyFont="1" applyAlignment="1">
      <alignment horizontal="center"/>
    </xf>
    <xf numFmtId="0" fontId="0" fillId="0" borderId="0" xfId="0" applyAlignment="1">
      <alignment vertical="top" textRotation="180"/>
    </xf>
    <xf numFmtId="0" fontId="0" fillId="0" borderId="0" xfId="0" applyAlignment="1">
      <alignment horizontal="center"/>
    </xf>
    <xf numFmtId="0" fontId="0" fillId="2" borderId="0" xfId="0" applyFill="1"/>
    <xf numFmtId="0" fontId="4" fillId="0" borderId="0" xfId="0" applyFont="1"/>
    <xf numFmtId="0" fontId="11" fillId="0" borderId="0" xfId="0" applyFont="1" applyAlignment="1">
      <alignment horizontal="center"/>
    </xf>
    <xf numFmtId="0" fontId="12" fillId="0" borderId="0" xfId="0" applyFont="1" applyAlignment="1">
      <alignment horizontal="center" vertical="center" textRotation="180"/>
    </xf>
    <xf numFmtId="0" fontId="12" fillId="0" borderId="0" xfId="0" applyFont="1" applyAlignment="1">
      <alignment horizontal="center" vertical="center" textRotation="180" wrapText="1"/>
    </xf>
    <xf numFmtId="0" fontId="0" fillId="3" borderId="0" xfId="0" applyFill="1"/>
    <xf numFmtId="0" fontId="0" fillId="4" borderId="0" xfId="0" applyFill="1"/>
    <xf numFmtId="0" fontId="0" fillId="0" borderId="0" xfId="0" applyAlignment="1">
      <alignment vertical="top"/>
    </xf>
    <xf numFmtId="0" fontId="11" fillId="0" borderId="0" xfId="0" applyFont="1" applyAlignment="1">
      <alignment vertical="top" textRotation="180"/>
    </xf>
    <xf numFmtId="0" fontId="15" fillId="0" borderId="0" xfId="0" applyFont="1"/>
    <xf numFmtId="0" fontId="3" fillId="0" borderId="0" xfId="0" applyFont="1"/>
    <xf numFmtId="0" fontId="1" fillId="0" borderId="0" xfId="0" applyFont="1" applyAlignment="1">
      <alignment vertical="top"/>
    </xf>
    <xf numFmtId="0" fontId="3" fillId="0" borderId="0" xfId="0" applyFont="1" applyAlignment="1">
      <alignment vertical="top" wrapText="1"/>
    </xf>
    <xf numFmtId="0" fontId="16" fillId="0" borderId="0" xfId="1" applyFont="1" applyAlignment="1">
      <alignment vertical="top" wrapText="1"/>
    </xf>
    <xf numFmtId="0" fontId="11" fillId="0" borderId="0" xfId="0" applyFont="1" applyAlignment="1">
      <alignment vertical="top" wrapText="1"/>
    </xf>
    <xf numFmtId="0" fontId="3" fillId="0" borderId="0" xfId="0" applyFont="1" applyAlignment="1">
      <alignment vertical="top" textRotation="180"/>
    </xf>
    <xf numFmtId="0" fontId="14" fillId="0" borderId="0" xfId="0" applyFont="1"/>
    <xf numFmtId="0" fontId="0" fillId="5" borderId="0" xfId="0" applyFill="1"/>
    <xf numFmtId="0" fontId="2" fillId="0" borderId="0" xfId="1" applyFill="1"/>
    <xf numFmtId="0" fontId="1" fillId="0" borderId="0" xfId="0" applyFont="1"/>
    <xf numFmtId="0" fontId="0" fillId="6" borderId="0" xfId="0" applyFill="1"/>
    <xf numFmtId="0" fontId="30" fillId="0" borderId="0" xfId="1" applyFont="1" applyFill="1"/>
    <xf numFmtId="0" fontId="15" fillId="6" borderId="0" xfId="0" applyFont="1" applyFill="1"/>
    <xf numFmtId="0" fontId="2" fillId="0" borderId="0" xfId="1"/>
    <xf numFmtId="0" fontId="33" fillId="0" borderId="0" xfId="1" applyFont="1" applyFill="1"/>
    <xf numFmtId="0" fontId="4" fillId="0" borderId="0" xfId="1" applyFont="1" applyFill="1"/>
    <xf numFmtId="0" fontId="0" fillId="7" borderId="0" xfId="0" applyFill="1"/>
    <xf numFmtId="0" fontId="0" fillId="8" borderId="0" xfId="0" applyFill="1"/>
    <xf numFmtId="0" fontId="3" fillId="0" borderId="0" xfId="0" applyFont="1" applyAlignment="1">
      <alignment horizontal="center" vertical="center" textRotation="180" wrapText="1"/>
    </xf>
    <xf numFmtId="0" fontId="1" fillId="0" borderId="0" xfId="0" applyFont="1" applyAlignment="1">
      <alignment horizontal="center" textRotation="180"/>
    </xf>
    <xf numFmtId="0" fontId="15" fillId="0" borderId="0" xfId="0" applyFont="1" applyAlignment="1">
      <alignment horizontal="left"/>
    </xf>
    <xf numFmtId="0" fontId="15" fillId="0" borderId="0" xfId="0" applyFont="1" applyAlignment="1">
      <alignment horizontal="left" vertical="center"/>
    </xf>
    <xf numFmtId="0" fontId="25" fillId="0" borderId="0" xfId="0" applyFont="1" applyAlignment="1">
      <alignment horizontal="left"/>
    </xf>
    <xf numFmtId="0" fontId="0" fillId="0" borderId="0" xfId="0" applyAlignment="1">
      <alignment horizontal="center" vertical="top" textRotation="180"/>
    </xf>
    <xf numFmtId="0" fontId="13" fillId="0" borderId="0" xfId="0" applyFont="1" applyAlignment="1">
      <alignment horizontal="center" vertical="center"/>
    </xf>
    <xf numFmtId="0" fontId="13" fillId="0" borderId="0" xfId="0" applyFont="1" applyAlignment="1">
      <alignment horizontal="center" vertical="center" wrapText="1"/>
    </xf>
    <xf numFmtId="0" fontId="13" fillId="0" borderId="0" xfId="0" applyFont="1" applyAlignment="1">
      <alignment horizontal="center" vertical="top" textRotation="180"/>
    </xf>
    <xf numFmtId="0" fontId="27" fillId="0" borderId="0" xfId="0" applyFont="1" applyAlignment="1">
      <alignment horizontal="center" vertical="top" textRotation="180"/>
    </xf>
    <xf numFmtId="0" fontId="0" fillId="0" borderId="0" xfId="0" applyAlignment="1">
      <alignment horizontal="center" vertical="top" wrapText="1"/>
    </xf>
    <xf numFmtId="0" fontId="3" fillId="0" borderId="0" xfId="0" applyFont="1" applyAlignment="1">
      <alignment horizontal="center" vertical="center" textRotation="180"/>
    </xf>
    <xf numFmtId="0" fontId="11" fillId="0" borderId="0" xfId="0" applyFont="1" applyAlignment="1">
      <alignment horizontal="center" vertical="center"/>
    </xf>
    <xf numFmtId="0" fontId="11" fillId="0" borderId="0" xfId="0" applyFont="1" applyAlignment="1">
      <alignment horizontal="center"/>
    </xf>
    <xf numFmtId="0" fontId="11" fillId="0" borderId="0" xfId="0" applyFont="1" applyAlignment="1">
      <alignment horizontal="center" vertical="center" textRotation="180"/>
    </xf>
    <xf numFmtId="0" fontId="11" fillId="0" borderId="0" xfId="0" applyFont="1" applyAlignment="1">
      <alignment horizontal="center" vertical="center" wrapText="1"/>
    </xf>
    <xf numFmtId="0" fontId="13" fillId="0" borderId="0" xfId="0" applyFont="1" applyAlignment="1">
      <alignment horizontal="center" vertical="center" textRotation="180"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geonames.org/3063561/" TargetMode="External"/><Relationship Id="rId18" Type="http://schemas.openxmlformats.org/officeDocument/2006/relationships/hyperlink" Target="https://www.geonames.org/3075606/" TargetMode="External"/><Relationship Id="rId26" Type="http://schemas.openxmlformats.org/officeDocument/2006/relationships/hyperlink" Target="https://www.geonames.org/3073371/" TargetMode="External"/><Relationship Id="rId39" Type="http://schemas.openxmlformats.org/officeDocument/2006/relationships/hyperlink" Target="https://www.geonames.org/2874225/" TargetMode="External"/><Relationship Id="rId21" Type="http://schemas.openxmlformats.org/officeDocument/2006/relationships/hyperlink" Target="https://www.geonames.org/708224/" TargetMode="External"/><Relationship Id="rId34" Type="http://schemas.openxmlformats.org/officeDocument/2006/relationships/hyperlink" Target="https://www.geonames.org/695781/" TargetMode="External"/><Relationship Id="rId42" Type="http://schemas.openxmlformats.org/officeDocument/2006/relationships/hyperlink" Target="https://www.geonames.org/694979/" TargetMode="External"/><Relationship Id="rId47" Type="http://schemas.openxmlformats.org/officeDocument/2006/relationships/hyperlink" Target="https://www.geonames.org/768338/" TargetMode="External"/><Relationship Id="rId50" Type="http://schemas.openxmlformats.org/officeDocument/2006/relationships/hyperlink" Target="https://www.geonames.org/776175/" TargetMode="External"/><Relationship Id="rId55" Type="http://schemas.openxmlformats.org/officeDocument/2006/relationships/comments" Target="../comments1.xml"/><Relationship Id="rId7" Type="http://schemas.openxmlformats.org/officeDocument/2006/relationships/hyperlink" Target="https://www.geonames.org/3072699/" TargetMode="External"/><Relationship Id="rId2" Type="http://schemas.openxmlformats.org/officeDocument/2006/relationships/hyperlink" Target="https://www.geonames.org/3079464/" TargetMode="External"/><Relationship Id="rId16" Type="http://schemas.openxmlformats.org/officeDocument/2006/relationships/hyperlink" Target="https://www.geonames.org/3067770/" TargetMode="External"/><Relationship Id="rId29" Type="http://schemas.openxmlformats.org/officeDocument/2006/relationships/hyperlink" Target="https://www.geonames.org/3064288/" TargetMode="External"/><Relationship Id="rId11" Type="http://schemas.openxmlformats.org/officeDocument/2006/relationships/hyperlink" Target="https://www.geonames.org/3071339/" TargetMode="External"/><Relationship Id="rId24" Type="http://schemas.openxmlformats.org/officeDocument/2006/relationships/hyperlink" Target="https://www.geonames.org/3061729/" TargetMode="External"/><Relationship Id="rId32" Type="http://schemas.openxmlformats.org/officeDocument/2006/relationships/hyperlink" Target="https://www.geonames.org/697140/" TargetMode="External"/><Relationship Id="rId37" Type="http://schemas.openxmlformats.org/officeDocument/2006/relationships/hyperlink" Target="https://www.geonames.org/3067421/" TargetMode="External"/><Relationship Id="rId40" Type="http://schemas.openxmlformats.org/officeDocument/2006/relationships/hyperlink" Target="https://www.geonames.org/762201/" TargetMode="External"/><Relationship Id="rId45" Type="http://schemas.openxmlformats.org/officeDocument/2006/relationships/hyperlink" Target="https://www.geonames.org/3088694/" TargetMode="External"/><Relationship Id="rId53" Type="http://schemas.openxmlformats.org/officeDocument/2006/relationships/hyperlink" Target="https://www.geonames.org/702350/" TargetMode="External"/><Relationship Id="rId5" Type="http://schemas.openxmlformats.org/officeDocument/2006/relationships/hyperlink" Target="https://www.geonames.org/3064484/" TargetMode="External"/><Relationship Id="rId10" Type="http://schemas.openxmlformats.org/officeDocument/2006/relationships/hyperlink" Target="https://www.geonames.org/3061623/" TargetMode="External"/><Relationship Id="rId19" Type="http://schemas.openxmlformats.org/officeDocument/2006/relationships/hyperlink" Target="https://www.geonames.org/3075606/" TargetMode="External"/><Relationship Id="rId31" Type="http://schemas.openxmlformats.org/officeDocument/2006/relationships/hyperlink" Target="https://www.geonames.org/697140/" TargetMode="External"/><Relationship Id="rId44" Type="http://schemas.openxmlformats.org/officeDocument/2006/relationships/hyperlink" Target="https://www.geonames.org/3088694/" TargetMode="External"/><Relationship Id="rId52" Type="http://schemas.openxmlformats.org/officeDocument/2006/relationships/hyperlink" Target="https://www.geonames.org/702350/" TargetMode="External"/><Relationship Id="rId4" Type="http://schemas.openxmlformats.org/officeDocument/2006/relationships/hyperlink" Target="https://www.geonames.org/3067696/" TargetMode="External"/><Relationship Id="rId9" Type="http://schemas.openxmlformats.org/officeDocument/2006/relationships/hyperlink" Target="https://www.geonames.org/3071645/" TargetMode="External"/><Relationship Id="rId14" Type="http://schemas.openxmlformats.org/officeDocument/2006/relationships/hyperlink" Target="https://www.geonames.org/3067121/" TargetMode="External"/><Relationship Id="rId22" Type="http://schemas.openxmlformats.org/officeDocument/2006/relationships/hyperlink" Target="https://www.geonames.org/3069834/" TargetMode="External"/><Relationship Id="rId27" Type="http://schemas.openxmlformats.org/officeDocument/2006/relationships/hyperlink" Target="https://www.geonames.org/3064104/" TargetMode="External"/><Relationship Id="rId30" Type="http://schemas.openxmlformats.org/officeDocument/2006/relationships/hyperlink" Target="https://www.geonames.org/12195837/" TargetMode="External"/><Relationship Id="rId35" Type="http://schemas.openxmlformats.org/officeDocument/2006/relationships/hyperlink" Target="https://www.geonames.org/703514/" TargetMode="External"/><Relationship Id="rId43" Type="http://schemas.openxmlformats.org/officeDocument/2006/relationships/hyperlink" Target="https://www.geonames.org/710719/" TargetMode="External"/><Relationship Id="rId48" Type="http://schemas.openxmlformats.org/officeDocument/2006/relationships/hyperlink" Target="https://www.geonames.org/768846/" TargetMode="External"/><Relationship Id="rId8" Type="http://schemas.openxmlformats.org/officeDocument/2006/relationships/hyperlink" Target="https://www.geonames.org/3065225/" TargetMode="External"/><Relationship Id="rId51" Type="http://schemas.openxmlformats.org/officeDocument/2006/relationships/hyperlink" Target="https://www.geonames.org/776175/" TargetMode="External"/><Relationship Id="rId3" Type="http://schemas.openxmlformats.org/officeDocument/2006/relationships/hyperlink" Target="https://www.geonames.org/3061360/" TargetMode="External"/><Relationship Id="rId12" Type="http://schemas.openxmlformats.org/officeDocument/2006/relationships/hyperlink" Target="../../Ilya%20Files/vladimirberkovich/Library/Containers/com.microsoft.Excel/Data/Library/Application%20Support/Microsoft/Kos&#780;umberk,%20Luz&#780;e%20(Czech%20Republic)" TargetMode="External"/><Relationship Id="rId17" Type="http://schemas.openxmlformats.org/officeDocument/2006/relationships/hyperlink" Target="https://www.geonames.org/3067770/" TargetMode="External"/><Relationship Id="rId25" Type="http://schemas.openxmlformats.org/officeDocument/2006/relationships/hyperlink" Target="https://www.geonames.org/3073371/" TargetMode="External"/><Relationship Id="rId33" Type="http://schemas.openxmlformats.org/officeDocument/2006/relationships/hyperlink" Target="https://www.geonames.org/695781/" TargetMode="External"/><Relationship Id="rId38" Type="http://schemas.openxmlformats.org/officeDocument/2006/relationships/hyperlink" Target="https://www.geonames.org/3067421/" TargetMode="External"/><Relationship Id="rId46" Type="http://schemas.openxmlformats.org/officeDocument/2006/relationships/hyperlink" Target="https://www.geonames.org/768338/" TargetMode="External"/><Relationship Id="rId20" Type="http://schemas.openxmlformats.org/officeDocument/2006/relationships/hyperlink" Target="https://www.geonames.org/708224/" TargetMode="External"/><Relationship Id="rId41" Type="http://schemas.openxmlformats.org/officeDocument/2006/relationships/hyperlink" Target="https://www.geonames.org/694979/" TargetMode="External"/><Relationship Id="rId54" Type="http://schemas.openxmlformats.org/officeDocument/2006/relationships/vmlDrawing" Target="../drawings/vmlDrawing1.vml"/><Relationship Id="rId1" Type="http://schemas.openxmlformats.org/officeDocument/2006/relationships/hyperlink" Target="https://www.geonames.org/3067696/" TargetMode="External"/><Relationship Id="rId6" Type="http://schemas.openxmlformats.org/officeDocument/2006/relationships/hyperlink" Target="https://www.geonames.org/3065911/" TargetMode="External"/><Relationship Id="rId15" Type="http://schemas.openxmlformats.org/officeDocument/2006/relationships/hyperlink" Target="https://www.geonames.org/3071977/" TargetMode="External"/><Relationship Id="rId23" Type="http://schemas.openxmlformats.org/officeDocument/2006/relationships/hyperlink" Target="https://www.geonames.org/3074204/" TargetMode="External"/><Relationship Id="rId28" Type="http://schemas.openxmlformats.org/officeDocument/2006/relationships/hyperlink" Target="https://www.geonames.org/3064104/" TargetMode="External"/><Relationship Id="rId36" Type="http://schemas.openxmlformats.org/officeDocument/2006/relationships/hyperlink" Target="https://www.geonames.org/3099434/" TargetMode="External"/><Relationship Id="rId49" Type="http://schemas.openxmlformats.org/officeDocument/2006/relationships/hyperlink" Target="https://www.geonames.org/768846/"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4A914-0BAF-B744-B920-4D62EA5B85A8}">
  <dimension ref="A1:CT71"/>
  <sheetViews>
    <sheetView tabSelected="1" workbookViewId="0">
      <pane xSplit="2" ySplit="2" topLeftCell="C3" activePane="bottomRight" state="frozen"/>
      <selection pane="topRight" activeCell="C1" sqref="C1"/>
      <selection pane="bottomLeft" activeCell="A3" sqref="A3"/>
      <selection pane="bottomRight" activeCell="E59" sqref="E59"/>
    </sheetView>
  </sheetViews>
  <sheetFormatPr baseColWidth="10" defaultRowHeight="16"/>
  <cols>
    <col min="1" max="1" width="3.5" customWidth="1"/>
    <col min="2" max="2" width="42.83203125" customWidth="1"/>
    <col min="3" max="3" width="16.1640625" customWidth="1"/>
    <col min="4" max="4" width="15.83203125" customWidth="1"/>
    <col min="6" max="6" width="12.33203125" customWidth="1"/>
    <col min="7" max="7" width="4.1640625" customWidth="1"/>
    <col min="8" max="8" width="4.33203125" customWidth="1"/>
    <col min="12" max="13" width="3.83203125" customWidth="1"/>
    <col min="14" max="14" width="4.6640625" customWidth="1"/>
    <col min="15" max="15" width="4" customWidth="1"/>
    <col min="16" max="16" width="4.1640625" customWidth="1"/>
    <col min="17" max="19" width="3.83203125" customWidth="1"/>
    <col min="20" max="20" width="7.6640625" customWidth="1"/>
    <col min="21" max="21" width="12" customWidth="1"/>
    <col min="22" max="54" width="2.83203125" customWidth="1"/>
    <col min="56" max="56" width="11.83203125" customWidth="1"/>
    <col min="57" max="57" width="10.33203125" customWidth="1"/>
    <col min="58" max="59" width="4.6640625" customWidth="1"/>
    <col min="60" max="62" width="3.83203125" customWidth="1"/>
    <col min="63" max="96" width="2.83203125" customWidth="1"/>
    <col min="97" max="97" width="19.33203125" customWidth="1"/>
  </cols>
  <sheetData>
    <row r="1" spans="1:97" ht="24" customHeight="1">
      <c r="A1" s="43" t="s">
        <v>69</v>
      </c>
      <c r="B1" s="44" t="s">
        <v>0</v>
      </c>
      <c r="C1" s="45" t="s">
        <v>1</v>
      </c>
      <c r="D1" s="45"/>
      <c r="E1" s="45"/>
      <c r="F1" s="45"/>
      <c r="G1" s="46" t="s">
        <v>2</v>
      </c>
      <c r="H1" s="46" t="s">
        <v>3</v>
      </c>
      <c r="I1" s="47" t="s">
        <v>4</v>
      </c>
      <c r="J1" s="44" t="s">
        <v>5</v>
      </c>
      <c r="K1" s="44" t="s">
        <v>6</v>
      </c>
      <c r="L1" s="45" t="s">
        <v>7</v>
      </c>
      <c r="M1" s="45"/>
      <c r="N1" s="45"/>
      <c r="O1" s="45" t="s">
        <v>8</v>
      </c>
      <c r="P1" s="45"/>
      <c r="Q1" s="45" t="s">
        <v>9</v>
      </c>
      <c r="R1" s="45"/>
      <c r="S1" s="45"/>
      <c r="T1" s="45"/>
      <c r="U1" s="48" t="s">
        <v>192</v>
      </c>
      <c r="V1" s="33">
        <v>1788</v>
      </c>
      <c r="W1" s="33">
        <v>1789</v>
      </c>
      <c r="X1" s="33">
        <v>1790</v>
      </c>
      <c r="Y1" s="33">
        <v>1791</v>
      </c>
      <c r="Z1" s="33">
        <v>1792</v>
      </c>
      <c r="AA1" s="33">
        <v>1793</v>
      </c>
      <c r="AB1" s="33">
        <v>1794</v>
      </c>
      <c r="AC1" s="33">
        <v>1795</v>
      </c>
      <c r="AD1" s="33">
        <v>1796</v>
      </c>
      <c r="AE1" s="33">
        <v>1797</v>
      </c>
      <c r="AF1" s="33">
        <v>1798</v>
      </c>
      <c r="AG1" s="33">
        <v>1799</v>
      </c>
      <c r="AH1" s="33">
        <v>1800</v>
      </c>
      <c r="AI1" s="33">
        <v>1801</v>
      </c>
      <c r="AJ1" s="33">
        <v>1802</v>
      </c>
      <c r="AK1" s="33">
        <v>1803</v>
      </c>
      <c r="AL1" s="33">
        <v>1804</v>
      </c>
      <c r="AM1" s="33">
        <v>1805</v>
      </c>
      <c r="AN1" s="33">
        <v>1806</v>
      </c>
      <c r="AO1" s="33">
        <v>1807</v>
      </c>
      <c r="AP1" s="33">
        <v>1808</v>
      </c>
      <c r="AQ1" s="33">
        <v>1809</v>
      </c>
      <c r="AR1" s="33">
        <v>1810</v>
      </c>
      <c r="AS1" s="33">
        <v>1811</v>
      </c>
      <c r="AT1" s="33">
        <v>1812</v>
      </c>
      <c r="AU1" s="33">
        <v>1813</v>
      </c>
      <c r="AV1" s="33">
        <v>1814</v>
      </c>
      <c r="AW1" s="33">
        <v>1815</v>
      </c>
      <c r="AX1" s="33">
        <v>1816</v>
      </c>
      <c r="AY1" s="33">
        <v>1817</v>
      </c>
      <c r="AZ1" s="33">
        <v>1818</v>
      </c>
      <c r="BA1" s="33">
        <v>1819</v>
      </c>
      <c r="BB1" s="33">
        <v>1820</v>
      </c>
      <c r="BC1" s="38" t="s">
        <v>54</v>
      </c>
      <c r="BD1" s="39" t="s">
        <v>52</v>
      </c>
      <c r="BE1" s="40" t="s">
        <v>10</v>
      </c>
      <c r="BF1" s="40" t="s">
        <v>53</v>
      </c>
      <c r="BG1" s="40" t="s">
        <v>66</v>
      </c>
      <c r="BH1" s="40" t="s">
        <v>11</v>
      </c>
      <c r="BI1" s="41" t="s">
        <v>61</v>
      </c>
      <c r="BJ1" s="41" t="s">
        <v>62</v>
      </c>
      <c r="BK1" s="37" t="s">
        <v>12</v>
      </c>
      <c r="BL1" s="37" t="s">
        <v>13</v>
      </c>
      <c r="BM1" s="37" t="s">
        <v>14</v>
      </c>
      <c r="BN1" s="37" t="s">
        <v>15</v>
      </c>
      <c r="BO1" s="37" t="s">
        <v>16</v>
      </c>
      <c r="BP1" s="37" t="s">
        <v>17</v>
      </c>
      <c r="BQ1" s="37" t="s">
        <v>18</v>
      </c>
      <c r="BR1" s="42" t="s">
        <v>19</v>
      </c>
      <c r="BS1" s="42"/>
      <c r="BT1" s="42"/>
      <c r="BU1" s="37" t="s">
        <v>20</v>
      </c>
      <c r="BV1" s="37" t="s">
        <v>21</v>
      </c>
      <c r="BW1" s="37" t="s">
        <v>22</v>
      </c>
      <c r="BX1" s="37" t="s">
        <v>63</v>
      </c>
      <c r="BY1" s="37" t="s">
        <v>23</v>
      </c>
      <c r="BZ1" s="37" t="s">
        <v>24</v>
      </c>
      <c r="CA1" s="37" t="s">
        <v>25</v>
      </c>
      <c r="CB1" s="37" t="s">
        <v>26</v>
      </c>
      <c r="CC1" s="37" t="s">
        <v>67</v>
      </c>
      <c r="CD1" s="37" t="s">
        <v>27</v>
      </c>
      <c r="CE1" s="37" t="s">
        <v>64</v>
      </c>
      <c r="CF1" s="37" t="s">
        <v>28</v>
      </c>
      <c r="CG1" s="37" t="s">
        <v>29</v>
      </c>
      <c r="CH1" s="37" t="s">
        <v>30</v>
      </c>
      <c r="CI1" s="37" t="s">
        <v>31</v>
      </c>
      <c r="CJ1" s="37" t="s">
        <v>32</v>
      </c>
      <c r="CK1" s="37" t="s">
        <v>33</v>
      </c>
      <c r="CL1" s="37" t="s">
        <v>34</v>
      </c>
      <c r="CM1" s="37" t="s">
        <v>35</v>
      </c>
      <c r="CN1" s="37" t="s">
        <v>36</v>
      </c>
      <c r="CO1" s="37" t="s">
        <v>37</v>
      </c>
      <c r="CP1" s="37" t="s">
        <v>38</v>
      </c>
      <c r="CQ1" s="37" t="s">
        <v>310</v>
      </c>
      <c r="CR1" s="37" t="s">
        <v>39</v>
      </c>
      <c r="CS1" s="39" t="s">
        <v>68</v>
      </c>
    </row>
    <row r="2" spans="1:97" ht="135" customHeight="1">
      <c r="A2" s="43"/>
      <c r="B2" s="44"/>
      <c r="C2" s="6" t="s">
        <v>40</v>
      </c>
      <c r="D2" s="6" t="s">
        <v>130</v>
      </c>
      <c r="E2" s="6" t="s">
        <v>60</v>
      </c>
      <c r="F2" s="6" t="s">
        <v>41</v>
      </c>
      <c r="G2" s="46"/>
      <c r="H2" s="46"/>
      <c r="I2" s="47"/>
      <c r="J2" s="44"/>
      <c r="K2" s="44"/>
      <c r="L2" s="7" t="s">
        <v>56</v>
      </c>
      <c r="M2" s="7" t="s">
        <v>55</v>
      </c>
      <c r="N2" s="8" t="s">
        <v>57</v>
      </c>
      <c r="O2" s="7" t="s">
        <v>58</v>
      </c>
      <c r="P2" s="7" t="s">
        <v>59</v>
      </c>
      <c r="Q2" s="7" t="s">
        <v>42</v>
      </c>
      <c r="R2" s="7" t="s">
        <v>43</v>
      </c>
      <c r="S2" s="7" t="s">
        <v>44</v>
      </c>
      <c r="T2" s="32" t="s">
        <v>315</v>
      </c>
      <c r="U2" s="48"/>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8"/>
      <c r="BD2" s="39"/>
      <c r="BE2" s="40"/>
      <c r="BF2" s="40"/>
      <c r="BG2" s="40"/>
      <c r="BH2" s="40"/>
      <c r="BI2" s="41"/>
      <c r="BJ2" s="41"/>
      <c r="BK2" s="37"/>
      <c r="BL2" s="37"/>
      <c r="BM2" s="37"/>
      <c r="BN2" s="37"/>
      <c r="BO2" s="37"/>
      <c r="BP2" s="37"/>
      <c r="BQ2" s="37"/>
      <c r="BR2" s="2" t="s">
        <v>45</v>
      </c>
      <c r="BS2" s="2" t="s">
        <v>46</v>
      </c>
      <c r="BT2" s="2" t="s">
        <v>47</v>
      </c>
      <c r="BU2" s="37"/>
      <c r="BV2" s="37"/>
      <c r="BW2" s="37"/>
      <c r="BX2" s="37"/>
      <c r="BY2" s="37"/>
      <c r="BZ2" s="37"/>
      <c r="CA2" s="37"/>
      <c r="CB2" s="37"/>
      <c r="CC2" s="37"/>
      <c r="CD2" s="37"/>
      <c r="CE2" s="37"/>
      <c r="CF2" s="37"/>
      <c r="CG2" s="37"/>
      <c r="CH2" s="37"/>
      <c r="CI2" s="37"/>
      <c r="CJ2" s="37"/>
      <c r="CK2" s="37"/>
      <c r="CL2" s="37"/>
      <c r="CM2" s="37"/>
      <c r="CN2" s="37"/>
      <c r="CO2" s="37"/>
      <c r="CP2" s="37"/>
      <c r="CQ2" s="37"/>
      <c r="CR2" s="37"/>
      <c r="CS2" s="39"/>
    </row>
    <row r="3" spans="1:97">
      <c r="B3" s="23" t="s">
        <v>71</v>
      </c>
      <c r="C3" s="22"/>
      <c r="F3" s="5"/>
      <c r="G3" s="3"/>
      <c r="H3" s="3"/>
      <c r="I3" s="3"/>
      <c r="T3" s="1"/>
      <c r="BF3" s="3"/>
      <c r="BG3" s="3"/>
      <c r="BK3" s="3"/>
    </row>
    <row r="4" spans="1:97">
      <c r="B4" t="s">
        <v>72</v>
      </c>
      <c r="C4" s="22" t="s">
        <v>73</v>
      </c>
      <c r="E4" s="5" t="s">
        <v>74</v>
      </c>
      <c r="F4" s="5" t="s">
        <v>75</v>
      </c>
      <c r="G4" s="3">
        <v>1</v>
      </c>
      <c r="H4" s="3"/>
      <c r="I4" s="3">
        <f>1809-26</f>
        <v>1783</v>
      </c>
      <c r="J4" t="s">
        <v>48</v>
      </c>
      <c r="K4" t="s">
        <v>49</v>
      </c>
      <c r="T4" s="1"/>
      <c r="U4" t="s">
        <v>76</v>
      </c>
      <c r="AP4" s="31"/>
      <c r="AQ4" s="24">
        <v>1</v>
      </c>
      <c r="AR4" s="4">
        <v>1</v>
      </c>
      <c r="BC4" t="s">
        <v>77</v>
      </c>
      <c r="BD4" s="4" t="s">
        <v>51</v>
      </c>
      <c r="BE4" t="s">
        <v>78</v>
      </c>
      <c r="BF4" s="3" t="s">
        <v>50</v>
      </c>
      <c r="BG4" s="3">
        <v>1</v>
      </c>
      <c r="BH4">
        <v>2</v>
      </c>
      <c r="BK4" s="3"/>
      <c r="BM4">
        <v>1</v>
      </c>
      <c r="BO4">
        <v>1</v>
      </c>
      <c r="BR4">
        <v>1</v>
      </c>
      <c r="CF4">
        <v>1</v>
      </c>
      <c r="CS4" s="4" t="s">
        <v>79</v>
      </c>
    </row>
    <row r="5" spans="1:97">
      <c r="B5" t="s">
        <v>80</v>
      </c>
      <c r="C5" s="22" t="s">
        <v>85</v>
      </c>
      <c r="D5" s="22" t="s">
        <v>81</v>
      </c>
      <c r="E5" s="5" t="s">
        <v>74</v>
      </c>
      <c r="F5" s="5" t="s">
        <v>75</v>
      </c>
      <c r="G5" s="3">
        <v>1</v>
      </c>
      <c r="H5" s="3"/>
      <c r="I5" s="3">
        <f>1809-19</f>
        <v>1790</v>
      </c>
      <c r="J5" t="s">
        <v>48</v>
      </c>
      <c r="K5" t="s">
        <v>49</v>
      </c>
      <c r="T5" s="1"/>
      <c r="U5" t="s">
        <v>76</v>
      </c>
      <c r="AP5" s="31"/>
      <c r="AQ5" s="24">
        <v>1</v>
      </c>
      <c r="AR5" s="4">
        <v>1</v>
      </c>
      <c r="BC5" t="s">
        <v>77</v>
      </c>
      <c r="BD5" s="4" t="s">
        <v>51</v>
      </c>
      <c r="BE5" t="s">
        <v>78</v>
      </c>
      <c r="BF5" s="3" t="s">
        <v>50</v>
      </c>
      <c r="BG5" s="3">
        <v>1</v>
      </c>
      <c r="BH5">
        <v>2</v>
      </c>
      <c r="BK5" s="3"/>
      <c r="BM5">
        <v>1</v>
      </c>
      <c r="BO5">
        <v>1</v>
      </c>
      <c r="BR5">
        <v>1</v>
      </c>
      <c r="CF5">
        <v>1</v>
      </c>
      <c r="CS5" s="4" t="s">
        <v>79</v>
      </c>
    </row>
    <row r="6" spans="1:97">
      <c r="B6" t="s">
        <v>82</v>
      </c>
      <c r="C6" s="22" t="s">
        <v>73</v>
      </c>
      <c r="E6" s="5" t="s">
        <v>74</v>
      </c>
      <c r="F6" s="5" t="s">
        <v>75</v>
      </c>
      <c r="G6" s="3">
        <v>1</v>
      </c>
      <c r="H6" s="3"/>
      <c r="I6" s="3">
        <f>1809-22</f>
        <v>1787</v>
      </c>
      <c r="J6" t="s">
        <v>48</v>
      </c>
      <c r="K6" t="s">
        <v>83</v>
      </c>
      <c r="T6" s="1"/>
      <c r="U6" t="s">
        <v>76</v>
      </c>
      <c r="AP6" s="31"/>
      <c r="AQ6" s="24">
        <v>1</v>
      </c>
      <c r="AR6" s="4">
        <v>1</v>
      </c>
      <c r="BC6" t="s">
        <v>84</v>
      </c>
      <c r="BD6" s="4" t="s">
        <v>51</v>
      </c>
      <c r="BE6" t="s">
        <v>78</v>
      </c>
      <c r="BF6" s="3" t="s">
        <v>50</v>
      </c>
      <c r="BG6" s="3">
        <v>1</v>
      </c>
      <c r="BH6">
        <v>2</v>
      </c>
      <c r="BK6" s="3"/>
      <c r="BM6">
        <v>1</v>
      </c>
      <c r="BO6">
        <v>1</v>
      </c>
      <c r="BR6">
        <v>1</v>
      </c>
      <c r="CF6">
        <v>1</v>
      </c>
      <c r="CS6" s="4" t="s">
        <v>79</v>
      </c>
    </row>
    <row r="7" spans="1:97">
      <c r="B7" t="s">
        <v>86</v>
      </c>
      <c r="C7" s="25" t="s">
        <v>87</v>
      </c>
      <c r="D7" s="22" t="s">
        <v>88</v>
      </c>
      <c r="E7" s="5" t="s">
        <v>74</v>
      </c>
      <c r="F7" s="5" t="s">
        <v>75</v>
      </c>
      <c r="G7" s="3">
        <v>1</v>
      </c>
      <c r="H7" s="3"/>
      <c r="I7" s="3">
        <f>1809-26</f>
        <v>1783</v>
      </c>
      <c r="J7" t="s">
        <v>48</v>
      </c>
      <c r="K7" t="s">
        <v>49</v>
      </c>
      <c r="T7" s="1"/>
      <c r="U7" t="s">
        <v>89</v>
      </c>
      <c r="AP7" s="31"/>
      <c r="AQ7" s="24">
        <v>1</v>
      </c>
      <c r="AR7" s="4">
        <v>1</v>
      </c>
      <c r="BC7" t="s">
        <v>90</v>
      </c>
      <c r="BD7" s="4" t="s">
        <v>51</v>
      </c>
      <c r="BE7" t="s">
        <v>78</v>
      </c>
      <c r="BF7" s="3" t="s">
        <v>50</v>
      </c>
      <c r="BG7" s="3">
        <v>1</v>
      </c>
      <c r="BH7">
        <v>2</v>
      </c>
      <c r="BK7" s="3"/>
      <c r="BM7">
        <v>1</v>
      </c>
      <c r="BO7">
        <v>1</v>
      </c>
      <c r="BR7">
        <v>1</v>
      </c>
      <c r="CS7" s="4" t="s">
        <v>79</v>
      </c>
    </row>
    <row r="8" spans="1:97">
      <c r="B8" t="s">
        <v>91</v>
      </c>
      <c r="C8" s="22" t="s">
        <v>92</v>
      </c>
      <c r="D8" s="22" t="s">
        <v>93</v>
      </c>
      <c r="E8" s="5" t="s">
        <v>74</v>
      </c>
      <c r="F8" s="5" t="s">
        <v>75</v>
      </c>
      <c r="G8" s="3">
        <v>1</v>
      </c>
      <c r="H8" s="3"/>
      <c r="I8" s="3">
        <f>1809-20</f>
        <v>1789</v>
      </c>
      <c r="J8" t="s">
        <v>48</v>
      </c>
      <c r="K8" t="s">
        <v>49</v>
      </c>
      <c r="T8" s="1"/>
      <c r="U8" t="s">
        <v>89</v>
      </c>
      <c r="AP8" s="31"/>
      <c r="AQ8" s="24">
        <v>1</v>
      </c>
      <c r="AR8" s="4">
        <v>1</v>
      </c>
      <c r="BC8" t="s">
        <v>94</v>
      </c>
      <c r="BD8" s="4" t="s">
        <v>51</v>
      </c>
      <c r="BE8" t="s">
        <v>78</v>
      </c>
      <c r="BF8" s="3" t="s">
        <v>50</v>
      </c>
      <c r="BG8" s="3">
        <v>1</v>
      </c>
      <c r="BH8">
        <v>2</v>
      </c>
      <c r="BK8" s="3"/>
      <c r="BM8">
        <v>1</v>
      </c>
      <c r="BO8">
        <v>1</v>
      </c>
      <c r="BR8">
        <v>1</v>
      </c>
      <c r="CS8" s="4" t="s">
        <v>79</v>
      </c>
    </row>
    <row r="9" spans="1:97">
      <c r="B9" t="s">
        <v>95</v>
      </c>
      <c r="C9" s="22" t="s">
        <v>96</v>
      </c>
      <c r="D9" s="22" t="s">
        <v>97</v>
      </c>
      <c r="E9" s="5" t="s">
        <v>98</v>
      </c>
      <c r="F9" s="5" t="s">
        <v>75</v>
      </c>
      <c r="G9" s="3">
        <v>1</v>
      </c>
      <c r="H9" s="3"/>
      <c r="I9" s="3">
        <f>1809-17</f>
        <v>1792</v>
      </c>
      <c r="J9" t="s">
        <v>48</v>
      </c>
      <c r="K9" t="s">
        <v>49</v>
      </c>
      <c r="Q9">
        <v>5</v>
      </c>
      <c r="R9">
        <v>1</v>
      </c>
      <c r="T9" s="1">
        <f t="shared" ref="T9" si="0">((Q9*316)+(R9*26.3)+(S9*2.2))/10</f>
        <v>160.63</v>
      </c>
      <c r="U9" t="s">
        <v>99</v>
      </c>
      <c r="AQ9" s="24">
        <v>1</v>
      </c>
      <c r="AR9" s="4">
        <v>1</v>
      </c>
      <c r="BC9" t="s">
        <v>77</v>
      </c>
      <c r="BD9" s="4" t="s">
        <v>51</v>
      </c>
      <c r="BE9" t="s">
        <v>78</v>
      </c>
      <c r="BF9" s="3" t="s">
        <v>50</v>
      </c>
      <c r="BG9" s="3">
        <v>1</v>
      </c>
      <c r="BH9">
        <v>1</v>
      </c>
      <c r="BK9" s="3"/>
      <c r="BO9">
        <v>1</v>
      </c>
      <c r="BR9">
        <v>1</v>
      </c>
      <c r="CS9" s="4" t="s">
        <v>79</v>
      </c>
    </row>
    <row r="10" spans="1:97">
      <c r="B10" t="s">
        <v>100</v>
      </c>
      <c r="C10" s="22" t="s">
        <v>101</v>
      </c>
      <c r="D10" s="22"/>
      <c r="E10" s="5" t="s">
        <v>98</v>
      </c>
      <c r="F10" s="5" t="s">
        <v>75</v>
      </c>
      <c r="G10" s="3">
        <v>1</v>
      </c>
      <c r="H10" s="3"/>
      <c r="I10" s="3">
        <f>1809-34</f>
        <v>1775</v>
      </c>
      <c r="J10" t="s">
        <v>48</v>
      </c>
      <c r="K10" t="s">
        <v>102</v>
      </c>
      <c r="Q10">
        <v>5</v>
      </c>
      <c r="R10">
        <v>2</v>
      </c>
      <c r="T10" s="1">
        <f>((Q10*316)+(R10*26.3)+(S10*2.2))/10</f>
        <v>163.26</v>
      </c>
      <c r="U10" t="s">
        <v>70</v>
      </c>
      <c r="AP10" s="31"/>
      <c r="AQ10" s="24">
        <v>1</v>
      </c>
      <c r="AR10" s="4">
        <v>1</v>
      </c>
      <c r="BC10" t="s">
        <v>77</v>
      </c>
      <c r="BD10" s="4" t="s">
        <v>51</v>
      </c>
      <c r="BE10" t="s">
        <v>78</v>
      </c>
      <c r="BF10" s="3" t="s">
        <v>50</v>
      </c>
      <c r="BG10" s="3">
        <v>1</v>
      </c>
      <c r="BH10">
        <v>2</v>
      </c>
      <c r="BK10" s="3"/>
      <c r="BM10">
        <v>1</v>
      </c>
      <c r="BO10">
        <v>1</v>
      </c>
      <c r="BR10">
        <v>1</v>
      </c>
      <c r="CS10" s="4" t="s">
        <v>79</v>
      </c>
    </row>
    <row r="11" spans="1:97">
      <c r="B11" s="23" t="s">
        <v>103</v>
      </c>
      <c r="T11" s="1"/>
    </row>
    <row r="12" spans="1:97">
      <c r="B12" t="s">
        <v>104</v>
      </c>
      <c r="C12" s="22" t="s">
        <v>105</v>
      </c>
      <c r="D12" s="22" t="s">
        <v>106</v>
      </c>
      <c r="E12" s="5" t="s">
        <v>107</v>
      </c>
      <c r="F12" s="5" t="s">
        <v>75</v>
      </c>
      <c r="G12" s="3">
        <v>1</v>
      </c>
      <c r="H12" s="3"/>
      <c r="I12" s="3">
        <f>1809-22</f>
        <v>1787</v>
      </c>
      <c r="J12" t="s">
        <v>48</v>
      </c>
      <c r="K12" t="s">
        <v>49</v>
      </c>
      <c r="Q12">
        <v>5</v>
      </c>
      <c r="R12">
        <v>1</v>
      </c>
      <c r="S12">
        <v>2</v>
      </c>
      <c r="T12" s="1">
        <f t="shared" ref="T12" si="1">((Q12*316)+(R12*26.3)+(S12*2.2))/10</f>
        <v>161.07</v>
      </c>
      <c r="U12" t="s">
        <v>108</v>
      </c>
      <c r="AP12" s="31"/>
      <c r="AQ12" s="24">
        <v>1</v>
      </c>
      <c r="AR12" s="4">
        <v>1</v>
      </c>
      <c r="BC12" t="s">
        <v>109</v>
      </c>
      <c r="BD12" s="4" t="s">
        <v>51</v>
      </c>
      <c r="BE12" t="s">
        <v>78</v>
      </c>
      <c r="BF12" s="3" t="s">
        <v>50</v>
      </c>
      <c r="BG12" s="3">
        <v>1</v>
      </c>
      <c r="BH12">
        <v>2</v>
      </c>
      <c r="BK12" s="3"/>
      <c r="BM12">
        <v>1</v>
      </c>
      <c r="BO12">
        <v>1</v>
      </c>
      <c r="BR12">
        <v>1</v>
      </c>
      <c r="CM12">
        <v>1</v>
      </c>
      <c r="CS12" s="4" t="s">
        <v>79</v>
      </c>
    </row>
    <row r="13" spans="1:97">
      <c r="B13" t="s">
        <v>110</v>
      </c>
      <c r="C13" s="22" t="s">
        <v>111</v>
      </c>
      <c r="D13" s="22"/>
      <c r="E13" s="5" t="s">
        <v>112</v>
      </c>
      <c r="F13" s="5" t="s">
        <v>113</v>
      </c>
      <c r="G13" s="3">
        <v>1</v>
      </c>
      <c r="H13" s="3"/>
      <c r="I13" s="3">
        <f>1809-18</f>
        <v>1791</v>
      </c>
      <c r="J13" t="s">
        <v>48</v>
      </c>
      <c r="K13" t="s">
        <v>49</v>
      </c>
      <c r="Q13">
        <v>4</v>
      </c>
      <c r="R13">
        <v>10</v>
      </c>
      <c r="T13" s="1">
        <f>((Q13*316)+(R13*26.3)+(S13*2.2))/10</f>
        <v>152.69999999999999</v>
      </c>
      <c r="U13" t="s">
        <v>114</v>
      </c>
      <c r="AQ13" s="24">
        <v>1</v>
      </c>
      <c r="AR13" s="4">
        <v>1</v>
      </c>
      <c r="BC13" t="s">
        <v>115</v>
      </c>
      <c r="BD13" s="4" t="s">
        <v>51</v>
      </c>
      <c r="BE13" t="s">
        <v>78</v>
      </c>
      <c r="BF13" s="3" t="s">
        <v>50</v>
      </c>
      <c r="BG13" s="3">
        <v>1</v>
      </c>
      <c r="BH13">
        <v>1</v>
      </c>
      <c r="BK13" s="3"/>
      <c r="BO13">
        <v>1</v>
      </c>
      <c r="BR13">
        <v>1</v>
      </c>
      <c r="CS13" s="4" t="s">
        <v>79</v>
      </c>
    </row>
    <row r="14" spans="1:97">
      <c r="B14" s="23" t="s">
        <v>116</v>
      </c>
      <c r="T14" s="1"/>
    </row>
    <row r="15" spans="1:97">
      <c r="B15" t="s">
        <v>131</v>
      </c>
      <c r="C15" s="27" t="s">
        <v>146</v>
      </c>
      <c r="D15" s="27" t="s">
        <v>146</v>
      </c>
      <c r="E15" s="5" t="s">
        <v>147</v>
      </c>
      <c r="F15" s="5" t="s">
        <v>132</v>
      </c>
      <c r="G15" s="3">
        <v>1</v>
      </c>
      <c r="H15" s="3"/>
      <c r="I15" s="3">
        <f>1809-30</f>
        <v>1779</v>
      </c>
      <c r="J15" t="s">
        <v>48</v>
      </c>
      <c r="K15" t="s">
        <v>49</v>
      </c>
      <c r="Q15">
        <v>5</v>
      </c>
      <c r="R15">
        <v>3</v>
      </c>
      <c r="S15">
        <v>2</v>
      </c>
      <c r="T15" s="1">
        <f>((Q15*316)+(R15*26.3)+(S15*2.2))/10</f>
        <v>166.33</v>
      </c>
      <c r="U15" t="s">
        <v>148</v>
      </c>
      <c r="AG15" s="9"/>
      <c r="AH15" s="9"/>
      <c r="AI15" s="9"/>
      <c r="AJ15" s="9"/>
      <c r="AK15" s="9"/>
      <c r="AL15" s="9"/>
      <c r="AM15" s="9"/>
      <c r="AN15" s="9"/>
      <c r="AO15" s="9"/>
      <c r="AP15" s="9"/>
      <c r="AQ15" s="10">
        <v>1</v>
      </c>
      <c r="AR15" s="10">
        <v>1</v>
      </c>
      <c r="AS15" s="4"/>
      <c r="BC15" t="s">
        <v>133</v>
      </c>
      <c r="BD15" s="4" t="s">
        <v>51</v>
      </c>
      <c r="BE15" t="s">
        <v>134</v>
      </c>
      <c r="BF15" s="3" t="s">
        <v>50</v>
      </c>
      <c r="BG15" s="3">
        <v>4</v>
      </c>
      <c r="BH15">
        <v>2</v>
      </c>
      <c r="BI15">
        <v>1</v>
      </c>
      <c r="BK15" s="3" t="s">
        <v>135</v>
      </c>
      <c r="BQ15">
        <v>1</v>
      </c>
      <c r="BR15">
        <v>1</v>
      </c>
      <c r="CF15">
        <v>1</v>
      </c>
      <c r="CL15">
        <v>1</v>
      </c>
      <c r="CM15">
        <v>1</v>
      </c>
      <c r="CS15" s="4" t="s">
        <v>136</v>
      </c>
    </row>
    <row r="16" spans="1:97">
      <c r="B16" t="s">
        <v>117</v>
      </c>
      <c r="C16" s="22" t="s">
        <v>118</v>
      </c>
      <c r="D16" s="22" t="s">
        <v>119</v>
      </c>
      <c r="E16" s="5" t="s">
        <v>120</v>
      </c>
      <c r="F16" s="5" t="s">
        <v>75</v>
      </c>
      <c r="G16" s="3">
        <v>1</v>
      </c>
      <c r="H16" s="3"/>
      <c r="I16" s="3">
        <f>1809-24</f>
        <v>1785</v>
      </c>
      <c r="J16" t="s">
        <v>48</v>
      </c>
      <c r="K16" t="s">
        <v>121</v>
      </c>
      <c r="Q16">
        <v>5</v>
      </c>
      <c r="R16">
        <v>2</v>
      </c>
      <c r="S16">
        <v>3</v>
      </c>
      <c r="T16" s="1">
        <f>((Q16*316)+(R16*26.3)+(S16*2.2))/10</f>
        <v>163.92</v>
      </c>
      <c r="U16" t="s">
        <v>138</v>
      </c>
      <c r="AM16" s="9"/>
      <c r="AN16" s="9"/>
      <c r="AO16" s="4"/>
      <c r="AQ16" s="4">
        <v>1</v>
      </c>
      <c r="BC16" t="s">
        <v>122</v>
      </c>
      <c r="BD16" s="4" t="s">
        <v>123</v>
      </c>
      <c r="BE16" t="s">
        <v>78</v>
      </c>
      <c r="BF16" s="3" t="s">
        <v>50</v>
      </c>
      <c r="BG16" s="3">
        <v>7</v>
      </c>
      <c r="BH16">
        <v>3</v>
      </c>
      <c r="BJ16">
        <v>1</v>
      </c>
      <c r="BK16" s="3">
        <v>1</v>
      </c>
      <c r="BO16">
        <v>1</v>
      </c>
      <c r="BP16">
        <v>1</v>
      </c>
      <c r="BQ16">
        <v>1</v>
      </c>
      <c r="BR16">
        <v>1</v>
      </c>
      <c r="CB16">
        <v>1</v>
      </c>
      <c r="CF16">
        <v>1</v>
      </c>
      <c r="CM16">
        <v>1</v>
      </c>
      <c r="CS16" s="4" t="s">
        <v>124</v>
      </c>
    </row>
    <row r="17" spans="1:97">
      <c r="B17" t="s">
        <v>125</v>
      </c>
      <c r="C17" s="22" t="s">
        <v>126</v>
      </c>
      <c r="D17" s="22" t="s">
        <v>126</v>
      </c>
      <c r="E17" s="5" t="s">
        <v>127</v>
      </c>
      <c r="F17" s="5" t="s">
        <v>75</v>
      </c>
      <c r="G17" s="3">
        <v>1</v>
      </c>
      <c r="H17" s="3"/>
      <c r="I17" s="3">
        <f>1809-26</f>
        <v>1783</v>
      </c>
      <c r="J17" t="s">
        <v>48</v>
      </c>
      <c r="K17" t="s">
        <v>128</v>
      </c>
      <c r="Q17">
        <v>5</v>
      </c>
      <c r="R17">
        <v>1</v>
      </c>
      <c r="S17">
        <v>2</v>
      </c>
      <c r="T17" s="1">
        <f>((Q17*316)+(R17*26.3)+(S17*2.2))/10</f>
        <v>161.07</v>
      </c>
      <c r="U17" t="s">
        <v>129</v>
      </c>
      <c r="AP17" s="31"/>
      <c r="AQ17" s="24">
        <v>1</v>
      </c>
      <c r="AR17" s="4">
        <v>1</v>
      </c>
      <c r="BC17" t="s">
        <v>115</v>
      </c>
      <c r="BD17" s="4" t="s">
        <v>51</v>
      </c>
      <c r="BE17" t="s">
        <v>78</v>
      </c>
      <c r="BF17" s="3" t="s">
        <v>50</v>
      </c>
      <c r="BG17" s="3">
        <v>1</v>
      </c>
      <c r="BH17">
        <v>2</v>
      </c>
      <c r="BK17" s="3"/>
      <c r="BM17">
        <v>1</v>
      </c>
      <c r="BO17">
        <v>1</v>
      </c>
      <c r="BR17">
        <v>1</v>
      </c>
      <c r="CS17" s="4" t="s">
        <v>79</v>
      </c>
    </row>
    <row r="18" spans="1:97">
      <c r="B18" s="23" t="s">
        <v>137</v>
      </c>
      <c r="T18" s="1"/>
    </row>
    <row r="19" spans="1:97">
      <c r="B19" t="s">
        <v>139</v>
      </c>
      <c r="C19" s="22" t="s">
        <v>140</v>
      </c>
      <c r="D19" s="22" t="s">
        <v>140</v>
      </c>
      <c r="E19" s="5" t="s">
        <v>141</v>
      </c>
      <c r="F19" s="5" t="s">
        <v>113</v>
      </c>
      <c r="G19" s="3">
        <v>1</v>
      </c>
      <c r="H19" s="3"/>
      <c r="I19" s="3">
        <f>1809-24</f>
        <v>1785</v>
      </c>
      <c r="J19" t="s">
        <v>48</v>
      </c>
      <c r="K19" t="s">
        <v>49</v>
      </c>
      <c r="Q19">
        <v>5</v>
      </c>
      <c r="R19">
        <v>1</v>
      </c>
      <c r="S19">
        <v>1</v>
      </c>
      <c r="T19" s="1">
        <f t="shared" ref="T19" si="2">((Q19*316)+(R19*26.3)+(S19*2.2))/10</f>
        <v>160.85</v>
      </c>
      <c r="U19" t="s">
        <v>142</v>
      </c>
      <c r="AQ19" s="24">
        <v>1</v>
      </c>
      <c r="AR19" s="4">
        <v>1</v>
      </c>
      <c r="BC19" t="s">
        <v>143</v>
      </c>
      <c r="BD19" s="4" t="s">
        <v>51</v>
      </c>
      <c r="BE19" t="s">
        <v>78</v>
      </c>
      <c r="BF19" s="3" t="s">
        <v>50</v>
      </c>
      <c r="BG19" s="3">
        <v>1</v>
      </c>
      <c r="BH19">
        <v>1</v>
      </c>
      <c r="BK19" s="3"/>
      <c r="BO19">
        <v>1</v>
      </c>
      <c r="BR19">
        <v>1</v>
      </c>
      <c r="CS19" s="4" t="s">
        <v>79</v>
      </c>
    </row>
    <row r="20" spans="1:97">
      <c r="B20" s="23" t="s">
        <v>144</v>
      </c>
      <c r="T20" s="1"/>
    </row>
    <row r="21" spans="1:97">
      <c r="B21" t="s">
        <v>149</v>
      </c>
      <c r="C21" s="22" t="s">
        <v>150</v>
      </c>
      <c r="D21" s="25" t="s">
        <v>151</v>
      </c>
      <c r="E21" s="5" t="s">
        <v>152</v>
      </c>
      <c r="F21" s="5" t="s">
        <v>75</v>
      </c>
      <c r="G21" s="3">
        <v>1</v>
      </c>
      <c r="H21" s="3"/>
      <c r="I21" s="3">
        <f>1809-17</f>
        <v>1792</v>
      </c>
      <c r="J21" t="s">
        <v>48</v>
      </c>
      <c r="K21" t="s">
        <v>49</v>
      </c>
      <c r="Q21">
        <v>5</v>
      </c>
      <c r="R21">
        <v>1</v>
      </c>
      <c r="S21">
        <v>1</v>
      </c>
      <c r="T21" s="1">
        <f t="shared" ref="T21:T23" si="3">((Q21*316)+(R21*26.3)+(S21*2.2))/10</f>
        <v>160.85</v>
      </c>
      <c r="U21" t="s">
        <v>108</v>
      </c>
      <c r="AP21" s="31"/>
      <c r="AQ21" s="24">
        <v>1</v>
      </c>
      <c r="AR21" s="4">
        <v>1</v>
      </c>
      <c r="BC21" t="s">
        <v>153</v>
      </c>
      <c r="BD21" s="4" t="s">
        <v>154</v>
      </c>
      <c r="BE21" t="s">
        <v>78</v>
      </c>
      <c r="BF21" s="3" t="s">
        <v>50</v>
      </c>
      <c r="BG21" s="3">
        <v>1</v>
      </c>
      <c r="BH21">
        <v>2</v>
      </c>
      <c r="BK21" s="3"/>
      <c r="BM21">
        <v>1</v>
      </c>
      <c r="BO21">
        <v>1</v>
      </c>
      <c r="BR21">
        <v>1</v>
      </c>
      <c r="CM21">
        <v>1</v>
      </c>
      <c r="CS21" s="4" t="s">
        <v>155</v>
      </c>
    </row>
    <row r="22" spans="1:97">
      <c r="B22" t="s">
        <v>156</v>
      </c>
      <c r="C22" s="25" t="s">
        <v>157</v>
      </c>
      <c r="D22" s="25" t="s">
        <v>158</v>
      </c>
      <c r="E22" s="5" t="s">
        <v>152</v>
      </c>
      <c r="F22" s="5" t="s">
        <v>75</v>
      </c>
      <c r="G22" s="3">
        <v>1</v>
      </c>
      <c r="H22" s="3"/>
      <c r="I22" s="3">
        <f>1809-17</f>
        <v>1792</v>
      </c>
      <c r="J22" t="s">
        <v>48</v>
      </c>
      <c r="K22" t="s">
        <v>49</v>
      </c>
      <c r="Q22">
        <v>5</v>
      </c>
      <c r="R22">
        <v>1</v>
      </c>
      <c r="T22" s="1">
        <f t="shared" si="3"/>
        <v>160.63</v>
      </c>
      <c r="U22" t="s">
        <v>108</v>
      </c>
      <c r="AP22" s="31"/>
      <c r="AQ22" s="4">
        <v>1</v>
      </c>
      <c r="BC22" t="s">
        <v>159</v>
      </c>
      <c r="BD22" s="4" t="s">
        <v>160</v>
      </c>
      <c r="BE22" t="s">
        <v>78</v>
      </c>
      <c r="BF22" s="3" t="s">
        <v>50</v>
      </c>
      <c r="BG22" s="3">
        <v>1</v>
      </c>
      <c r="BH22">
        <v>2</v>
      </c>
      <c r="BK22" s="3"/>
      <c r="BM22">
        <v>1</v>
      </c>
      <c r="BO22">
        <v>1</v>
      </c>
      <c r="BR22">
        <v>1</v>
      </c>
      <c r="CS22" s="4" t="s">
        <v>201</v>
      </c>
    </row>
    <row r="23" spans="1:97">
      <c r="B23" t="s">
        <v>161</v>
      </c>
      <c r="C23" s="22" t="s">
        <v>162</v>
      </c>
      <c r="D23" s="28" t="s">
        <v>163</v>
      </c>
      <c r="E23" s="5" t="s">
        <v>164</v>
      </c>
      <c r="F23" s="5" t="s">
        <v>75</v>
      </c>
      <c r="G23" s="3">
        <v>1</v>
      </c>
      <c r="H23" s="3"/>
      <c r="I23" s="3">
        <f>1809-23</f>
        <v>1786</v>
      </c>
      <c r="J23" t="s">
        <v>48</v>
      </c>
      <c r="K23" t="s">
        <v>49</v>
      </c>
      <c r="Q23">
        <v>5</v>
      </c>
      <c r="T23" s="1">
        <f t="shared" si="3"/>
        <v>158</v>
      </c>
      <c r="U23" t="s">
        <v>165</v>
      </c>
      <c r="AQ23" s="4">
        <v>1</v>
      </c>
      <c r="BC23" t="s">
        <v>166</v>
      </c>
      <c r="BD23" s="4" t="s">
        <v>154</v>
      </c>
      <c r="BE23" t="s">
        <v>78</v>
      </c>
      <c r="BF23" s="3" t="s">
        <v>50</v>
      </c>
      <c r="BG23" s="3">
        <v>1</v>
      </c>
      <c r="BH23">
        <v>1</v>
      </c>
      <c r="BK23" s="3"/>
      <c r="BO23">
        <v>1</v>
      </c>
      <c r="BR23">
        <v>1</v>
      </c>
      <c r="CS23" s="4" t="s">
        <v>167</v>
      </c>
    </row>
    <row r="24" spans="1:97">
      <c r="B24" s="23" t="s">
        <v>168</v>
      </c>
      <c r="T24" s="1"/>
    </row>
    <row r="25" spans="1:97">
      <c r="B25" t="s">
        <v>169</v>
      </c>
      <c r="C25" s="29" t="s">
        <v>170</v>
      </c>
      <c r="D25" s="22" t="s">
        <v>171</v>
      </c>
      <c r="E25" s="5" t="s">
        <v>172</v>
      </c>
      <c r="F25" s="5" t="s">
        <v>113</v>
      </c>
      <c r="G25" s="3">
        <v>1</v>
      </c>
      <c r="H25" s="3"/>
      <c r="I25" s="3">
        <f>1809-17</f>
        <v>1792</v>
      </c>
      <c r="J25" t="s">
        <v>48</v>
      </c>
      <c r="K25" t="s">
        <v>49</v>
      </c>
      <c r="T25" s="1"/>
      <c r="U25" t="s">
        <v>173</v>
      </c>
      <c r="AQ25" s="4">
        <v>1</v>
      </c>
      <c r="BC25" t="s">
        <v>174</v>
      </c>
      <c r="BD25" s="4" t="s">
        <v>123</v>
      </c>
      <c r="BE25" t="s">
        <v>175</v>
      </c>
      <c r="BF25" s="3" t="s">
        <v>50</v>
      </c>
      <c r="BG25" s="3">
        <v>1</v>
      </c>
      <c r="BH25">
        <v>1</v>
      </c>
      <c r="BK25" s="3"/>
      <c r="BO25">
        <v>1</v>
      </c>
      <c r="BR25">
        <v>1</v>
      </c>
      <c r="CS25" s="4" t="s">
        <v>185</v>
      </c>
    </row>
    <row r="26" spans="1:97">
      <c r="B26" t="s">
        <v>176</v>
      </c>
      <c r="C26" s="22" t="s">
        <v>177</v>
      </c>
      <c r="D26" s="22" t="s">
        <v>177</v>
      </c>
      <c r="E26" s="5" t="s">
        <v>178</v>
      </c>
      <c r="F26" s="5" t="s">
        <v>75</v>
      </c>
      <c r="G26" s="3">
        <v>1</v>
      </c>
      <c r="H26" s="3"/>
      <c r="I26" s="3">
        <f>1809-26</f>
        <v>1783</v>
      </c>
      <c r="J26" t="s">
        <v>48</v>
      </c>
      <c r="K26" t="s">
        <v>49</v>
      </c>
      <c r="Q26">
        <v>5</v>
      </c>
      <c r="R26">
        <v>1</v>
      </c>
      <c r="S26">
        <v>1</v>
      </c>
      <c r="T26" s="1">
        <f>((Q26*316)+(R26*26.3)+(S26*2.2))/10</f>
        <v>160.85</v>
      </c>
      <c r="U26" t="s">
        <v>129</v>
      </c>
      <c r="AQ26" s="24">
        <v>1</v>
      </c>
      <c r="AR26" s="4">
        <v>1</v>
      </c>
      <c r="BC26" t="s">
        <v>179</v>
      </c>
      <c r="BD26" s="4" t="s">
        <v>51</v>
      </c>
      <c r="BE26" t="s">
        <v>175</v>
      </c>
      <c r="BF26" s="3" t="s">
        <v>50</v>
      </c>
      <c r="BG26" s="3">
        <v>3</v>
      </c>
      <c r="BH26">
        <v>1</v>
      </c>
      <c r="BK26" s="3"/>
      <c r="BO26">
        <v>1</v>
      </c>
      <c r="BR26">
        <v>1</v>
      </c>
      <c r="CS26" s="4" t="s">
        <v>180</v>
      </c>
    </row>
    <row r="27" spans="1:97">
      <c r="B27" t="s">
        <v>181</v>
      </c>
      <c r="C27" s="22" t="s">
        <v>182</v>
      </c>
      <c r="D27" s="22" t="s">
        <v>182</v>
      </c>
      <c r="E27" s="5" t="s">
        <v>183</v>
      </c>
      <c r="F27" s="5" t="s">
        <v>113</v>
      </c>
      <c r="G27" s="3">
        <v>1</v>
      </c>
      <c r="H27" s="3"/>
      <c r="I27" s="3">
        <f>1809-18</f>
        <v>1791</v>
      </c>
      <c r="J27" t="s">
        <v>48</v>
      </c>
      <c r="K27" t="s">
        <v>121</v>
      </c>
      <c r="Q27">
        <v>5</v>
      </c>
      <c r="T27" s="1">
        <f>((Q27*316)+(R27*26.3)+(S27*2.2))/10</f>
        <v>158</v>
      </c>
      <c r="U27" t="s">
        <v>129</v>
      </c>
      <c r="AQ27" s="24">
        <v>1</v>
      </c>
      <c r="AR27" s="4">
        <v>1</v>
      </c>
      <c r="BC27" t="s">
        <v>184</v>
      </c>
      <c r="BD27" s="4" t="s">
        <v>51</v>
      </c>
      <c r="BE27" t="s">
        <v>175</v>
      </c>
      <c r="BF27" s="3" t="s">
        <v>50</v>
      </c>
      <c r="BG27" s="3">
        <v>3</v>
      </c>
      <c r="BH27">
        <v>1</v>
      </c>
      <c r="BK27" s="3"/>
      <c r="BO27">
        <v>1</v>
      </c>
      <c r="BR27">
        <v>1</v>
      </c>
      <c r="CM27">
        <v>1</v>
      </c>
      <c r="CS27" s="4" t="s">
        <v>180</v>
      </c>
    </row>
    <row r="28" spans="1:97" ht="16" customHeight="1">
      <c r="B28" s="23" t="s">
        <v>186</v>
      </c>
      <c r="T28" s="1"/>
    </row>
    <row r="29" spans="1:97" ht="16" customHeight="1">
      <c r="B29" t="s">
        <v>187</v>
      </c>
      <c r="C29" s="22" t="s">
        <v>188</v>
      </c>
      <c r="D29" s="25"/>
      <c r="E29" s="5" t="s">
        <v>120</v>
      </c>
      <c r="F29" s="5" t="s">
        <v>75</v>
      </c>
      <c r="G29" s="3">
        <v>1</v>
      </c>
      <c r="H29" s="3"/>
      <c r="I29" s="3">
        <f>1809-28</f>
        <v>1781</v>
      </c>
      <c r="J29" t="s">
        <v>48</v>
      </c>
      <c r="K29" t="s">
        <v>49</v>
      </c>
      <c r="T29" s="1"/>
      <c r="U29" t="s">
        <v>189</v>
      </c>
      <c r="AQ29" s="24">
        <v>1</v>
      </c>
      <c r="AR29" s="4">
        <v>1</v>
      </c>
      <c r="BC29" t="s">
        <v>190</v>
      </c>
      <c r="BD29" s="4" t="s">
        <v>51</v>
      </c>
      <c r="BE29" t="s">
        <v>175</v>
      </c>
      <c r="BF29" s="3" t="s">
        <v>50</v>
      </c>
      <c r="BG29" s="3">
        <v>3</v>
      </c>
      <c r="BH29">
        <v>1</v>
      </c>
      <c r="BK29" s="3"/>
      <c r="BO29">
        <v>1</v>
      </c>
      <c r="BR29">
        <v>1</v>
      </c>
      <c r="CM29">
        <v>1</v>
      </c>
      <c r="CS29" s="4" t="s">
        <v>180</v>
      </c>
    </row>
    <row r="30" spans="1:97" ht="16" customHeight="1">
      <c r="B30" s="23" t="s">
        <v>191</v>
      </c>
      <c r="T30" s="1"/>
    </row>
    <row r="31" spans="1:97">
      <c r="A31" t="s">
        <v>135</v>
      </c>
      <c r="B31" t="s">
        <v>198</v>
      </c>
      <c r="D31" s="22"/>
      <c r="E31" s="5"/>
      <c r="G31" s="3"/>
      <c r="H31" s="3"/>
      <c r="I31" s="3"/>
      <c r="T31" s="1"/>
      <c r="U31" t="s">
        <v>195</v>
      </c>
      <c r="AP31" s="31"/>
      <c r="AQ31" s="4">
        <v>1</v>
      </c>
      <c r="BC31" t="s">
        <v>199</v>
      </c>
      <c r="BD31" s="4" t="s">
        <v>123</v>
      </c>
      <c r="BE31" t="s">
        <v>175</v>
      </c>
      <c r="BF31" s="3" t="s">
        <v>50</v>
      </c>
      <c r="BG31" s="3">
        <v>1</v>
      </c>
      <c r="BH31">
        <v>2</v>
      </c>
      <c r="BK31" s="3"/>
      <c r="BM31">
        <v>1</v>
      </c>
      <c r="BO31">
        <v>1</v>
      </c>
      <c r="BR31">
        <v>1</v>
      </c>
      <c r="CS31" s="4" t="s">
        <v>200</v>
      </c>
    </row>
    <row r="32" spans="1:97">
      <c r="B32" t="s">
        <v>193</v>
      </c>
      <c r="C32" s="22" t="s">
        <v>194</v>
      </c>
      <c r="D32" s="22"/>
      <c r="E32" s="5" t="s">
        <v>172</v>
      </c>
      <c r="F32" s="5" t="s">
        <v>113</v>
      </c>
      <c r="G32" s="3">
        <v>1</v>
      </c>
      <c r="H32" s="3"/>
      <c r="I32" s="3">
        <f>1810-22</f>
        <v>1788</v>
      </c>
      <c r="J32" t="s">
        <v>48</v>
      </c>
      <c r="K32" t="s">
        <v>49</v>
      </c>
      <c r="T32" s="1"/>
      <c r="U32" t="s">
        <v>195</v>
      </c>
      <c r="AP32" s="31"/>
      <c r="AQ32" s="24">
        <v>1</v>
      </c>
      <c r="AR32" s="4">
        <v>1</v>
      </c>
      <c r="BC32" t="s">
        <v>196</v>
      </c>
      <c r="BD32" s="4" t="s">
        <v>51</v>
      </c>
      <c r="BE32" t="s">
        <v>175</v>
      </c>
      <c r="BF32" s="3" t="s">
        <v>50</v>
      </c>
      <c r="BG32" s="3">
        <v>1</v>
      </c>
      <c r="BH32">
        <v>2</v>
      </c>
      <c r="BK32" s="3"/>
      <c r="BM32">
        <v>1</v>
      </c>
      <c r="BO32">
        <v>1</v>
      </c>
      <c r="BR32">
        <v>1</v>
      </c>
      <c r="CM32">
        <v>1</v>
      </c>
      <c r="CS32" s="4" t="s">
        <v>197</v>
      </c>
    </row>
    <row r="33" spans="1:98">
      <c r="A33" t="s">
        <v>135</v>
      </c>
      <c r="B33" t="s">
        <v>202</v>
      </c>
      <c r="C33" s="22"/>
      <c r="D33" s="22"/>
      <c r="E33" s="5"/>
      <c r="G33" s="3"/>
      <c r="H33" s="3"/>
      <c r="I33" s="3"/>
      <c r="T33" s="1"/>
      <c r="U33" t="s">
        <v>195</v>
      </c>
      <c r="AP33" s="31"/>
      <c r="AQ33" s="24">
        <v>1</v>
      </c>
      <c r="AR33" s="4">
        <v>1</v>
      </c>
      <c r="BC33" t="s">
        <v>196</v>
      </c>
      <c r="BD33" s="4" t="s">
        <v>51</v>
      </c>
      <c r="BE33" t="s">
        <v>175</v>
      </c>
      <c r="BF33" s="3" t="s">
        <v>50</v>
      </c>
      <c r="BG33" s="3">
        <v>2</v>
      </c>
      <c r="BH33">
        <v>2</v>
      </c>
      <c r="BK33" s="3"/>
      <c r="BM33">
        <v>1</v>
      </c>
      <c r="BO33">
        <v>1</v>
      </c>
      <c r="BR33">
        <v>1</v>
      </c>
      <c r="CS33" s="4" t="s">
        <v>197</v>
      </c>
    </row>
    <row r="34" spans="1:98">
      <c r="A34" t="s">
        <v>135</v>
      </c>
      <c r="B34" t="s">
        <v>203</v>
      </c>
      <c r="C34" s="22"/>
      <c r="D34" s="22"/>
      <c r="E34" s="5"/>
      <c r="G34" s="3"/>
      <c r="H34" s="3"/>
      <c r="I34" s="3"/>
      <c r="T34" s="1"/>
      <c r="U34" t="s">
        <v>195</v>
      </c>
      <c r="AP34" s="31"/>
      <c r="AQ34" s="24">
        <v>1</v>
      </c>
      <c r="AR34" s="4">
        <v>1</v>
      </c>
      <c r="BC34" t="s">
        <v>196</v>
      </c>
      <c r="BD34" s="4" t="s">
        <v>51</v>
      </c>
      <c r="BE34" t="s">
        <v>175</v>
      </c>
      <c r="BF34" s="3" t="s">
        <v>50</v>
      </c>
      <c r="BG34" s="3">
        <v>2</v>
      </c>
      <c r="BH34">
        <v>2</v>
      </c>
      <c r="BK34" s="3"/>
      <c r="BM34">
        <v>1</v>
      </c>
      <c r="BO34">
        <v>1</v>
      </c>
      <c r="BR34">
        <v>1</v>
      </c>
      <c r="CS34" s="4" t="s">
        <v>197</v>
      </c>
    </row>
    <row r="35" spans="1:98" ht="16" customHeight="1">
      <c r="B35" s="23" t="s">
        <v>210</v>
      </c>
      <c r="T35" s="1"/>
    </row>
    <row r="36" spans="1:98">
      <c r="B36" t="s">
        <v>204</v>
      </c>
      <c r="C36" s="22" t="s">
        <v>205</v>
      </c>
      <c r="D36" s="22" t="s">
        <v>205</v>
      </c>
      <c r="E36" s="5" t="s">
        <v>206</v>
      </c>
      <c r="F36" s="5" t="s">
        <v>132</v>
      </c>
      <c r="G36" s="3">
        <v>1</v>
      </c>
      <c r="H36" s="3"/>
      <c r="I36" s="3">
        <f>1809-18</f>
        <v>1791</v>
      </c>
      <c r="J36" t="s">
        <v>48</v>
      </c>
      <c r="K36" t="s">
        <v>49</v>
      </c>
      <c r="Q36">
        <v>5</v>
      </c>
      <c r="R36">
        <v>2</v>
      </c>
      <c r="T36" s="1">
        <f t="shared" ref="T36:T38" si="4">((Q36*316)+(R36*26.3)+(S36*2.2))/10</f>
        <v>163.26</v>
      </c>
      <c r="U36" t="s">
        <v>207</v>
      </c>
      <c r="AQ36" s="24">
        <v>1</v>
      </c>
      <c r="AR36" s="4">
        <v>1</v>
      </c>
      <c r="BC36" t="s">
        <v>208</v>
      </c>
      <c r="BD36" s="4" t="s">
        <v>51</v>
      </c>
      <c r="BE36" t="s">
        <v>209</v>
      </c>
      <c r="BF36" s="3" t="s">
        <v>50</v>
      </c>
      <c r="BG36" s="3">
        <v>4</v>
      </c>
      <c r="BH36">
        <v>2</v>
      </c>
      <c r="BI36">
        <v>1</v>
      </c>
      <c r="BK36" s="3">
        <v>1</v>
      </c>
      <c r="BR36">
        <v>1</v>
      </c>
      <c r="CL36">
        <v>1</v>
      </c>
      <c r="CS36" s="4" t="s">
        <v>211</v>
      </c>
    </row>
    <row r="37" spans="1:98">
      <c r="B37" t="s">
        <v>212</v>
      </c>
      <c r="C37" s="22" t="s">
        <v>213</v>
      </c>
      <c r="D37" s="22" t="s">
        <v>213</v>
      </c>
      <c r="E37" s="5" t="s">
        <v>214</v>
      </c>
      <c r="F37" s="5" t="s">
        <v>132</v>
      </c>
      <c r="G37" s="3">
        <v>1</v>
      </c>
      <c r="H37" s="3"/>
      <c r="I37" s="3">
        <f>1809-23</f>
        <v>1786</v>
      </c>
      <c r="J37" t="s">
        <v>48</v>
      </c>
      <c r="K37" t="s">
        <v>49</v>
      </c>
      <c r="Q37">
        <v>5</v>
      </c>
      <c r="R37">
        <v>1</v>
      </c>
      <c r="T37" s="1">
        <f t="shared" si="4"/>
        <v>160.63</v>
      </c>
      <c r="U37" t="s">
        <v>207</v>
      </c>
      <c r="AQ37" s="4">
        <v>1</v>
      </c>
      <c r="BC37" t="s">
        <v>215</v>
      </c>
      <c r="BD37" s="4" t="s">
        <v>51</v>
      </c>
      <c r="BE37" t="s">
        <v>216</v>
      </c>
      <c r="BF37" s="3" t="s">
        <v>50</v>
      </c>
      <c r="BG37" s="3">
        <v>2</v>
      </c>
      <c r="BH37">
        <v>1</v>
      </c>
      <c r="BK37" s="3">
        <v>1</v>
      </c>
      <c r="BR37">
        <v>1</v>
      </c>
      <c r="CS37" s="4" t="s">
        <v>217</v>
      </c>
    </row>
    <row r="38" spans="1:98">
      <c r="B38" t="s">
        <v>218</v>
      </c>
      <c r="C38" s="22" t="s">
        <v>219</v>
      </c>
      <c r="D38" s="22" t="s">
        <v>219</v>
      </c>
      <c r="E38" s="5" t="s">
        <v>206</v>
      </c>
      <c r="F38" s="5" t="s">
        <v>132</v>
      </c>
      <c r="G38" s="3">
        <v>1</v>
      </c>
      <c r="H38" s="3"/>
      <c r="I38" s="3">
        <f>1809-21</f>
        <v>1788</v>
      </c>
      <c r="J38" t="s">
        <v>48</v>
      </c>
      <c r="K38" t="s">
        <v>49</v>
      </c>
      <c r="Q38">
        <v>5</v>
      </c>
      <c r="R38">
        <v>2</v>
      </c>
      <c r="T38" s="1">
        <f t="shared" si="4"/>
        <v>163.26</v>
      </c>
      <c r="U38" t="s">
        <v>220</v>
      </c>
      <c r="AQ38" s="4">
        <v>1</v>
      </c>
      <c r="BC38" t="s">
        <v>221</v>
      </c>
      <c r="BD38" s="4" t="s">
        <v>51</v>
      </c>
      <c r="BE38" t="s">
        <v>216</v>
      </c>
      <c r="BF38" s="3" t="s">
        <v>50</v>
      </c>
      <c r="BG38" s="3">
        <v>2</v>
      </c>
      <c r="BH38">
        <v>1</v>
      </c>
      <c r="BK38" s="3">
        <v>1</v>
      </c>
      <c r="BR38">
        <v>1</v>
      </c>
      <c r="CS38" s="4" t="s">
        <v>217</v>
      </c>
    </row>
    <row r="39" spans="1:98">
      <c r="A39" t="s">
        <v>135</v>
      </c>
      <c r="B39" t="s">
        <v>222</v>
      </c>
      <c r="G39" s="3"/>
      <c r="H39" s="3"/>
      <c r="I39" s="3"/>
      <c r="T39" s="1"/>
      <c r="U39" t="s">
        <v>228</v>
      </c>
      <c r="AQ39" s="10">
        <v>1</v>
      </c>
      <c r="AR39" s="10">
        <v>1</v>
      </c>
      <c r="BC39" t="s">
        <v>223</v>
      </c>
      <c r="BD39" t="s">
        <v>224</v>
      </c>
      <c r="BE39" s="10" t="s">
        <v>225</v>
      </c>
      <c r="BF39" s="3" t="s">
        <v>226</v>
      </c>
      <c r="BG39" s="3">
        <v>2</v>
      </c>
      <c r="BH39">
        <v>1</v>
      </c>
      <c r="BK39" s="3"/>
      <c r="CS39" t="s">
        <v>227</v>
      </c>
      <c r="CT39" s="10" t="s">
        <v>316</v>
      </c>
    </row>
    <row r="40" spans="1:98" ht="16" customHeight="1">
      <c r="B40" s="23" t="s">
        <v>229</v>
      </c>
      <c r="T40" s="1"/>
    </row>
    <row r="41" spans="1:98">
      <c r="B41" t="s">
        <v>230</v>
      </c>
      <c r="C41" s="27" t="s">
        <v>294</v>
      </c>
      <c r="D41" s="27" t="s">
        <v>294</v>
      </c>
      <c r="E41" s="5" t="s">
        <v>231</v>
      </c>
      <c r="F41" s="5" t="s">
        <v>232</v>
      </c>
      <c r="G41" s="3">
        <v>1</v>
      </c>
      <c r="H41" s="3"/>
      <c r="I41" s="3">
        <f>1809-28</f>
        <v>1781</v>
      </c>
      <c r="J41" t="s">
        <v>233</v>
      </c>
      <c r="K41" t="s">
        <v>49</v>
      </c>
      <c r="Q41">
        <v>5</v>
      </c>
      <c r="R41">
        <v>3</v>
      </c>
      <c r="T41" s="1">
        <f t="shared" ref="T41" si="5">((Q41*316)+(R41*26.3)+(S41*2.2))/10</f>
        <v>165.89000000000001</v>
      </c>
      <c r="U41" t="s">
        <v>238</v>
      </c>
      <c r="AM41" s="9"/>
      <c r="AN41" s="9"/>
      <c r="AO41" s="9"/>
      <c r="AP41" s="9"/>
      <c r="AQ41" s="4">
        <v>1</v>
      </c>
      <c r="BC41" t="s">
        <v>234</v>
      </c>
      <c r="BD41" s="4" t="s">
        <v>235</v>
      </c>
      <c r="BE41" t="s">
        <v>236</v>
      </c>
      <c r="BF41" s="3" t="s">
        <v>50</v>
      </c>
      <c r="BG41" s="3">
        <v>1</v>
      </c>
      <c r="BH41">
        <v>2</v>
      </c>
      <c r="BK41" s="3">
        <v>1</v>
      </c>
      <c r="BQ41">
        <v>1</v>
      </c>
      <c r="BR41">
        <v>1</v>
      </c>
      <c r="CL41">
        <v>1</v>
      </c>
      <c r="CN41">
        <v>1</v>
      </c>
      <c r="CP41">
        <v>1</v>
      </c>
      <c r="CS41" s="4" t="s">
        <v>237</v>
      </c>
    </row>
    <row r="42" spans="1:98">
      <c r="B42" t="s">
        <v>302</v>
      </c>
      <c r="C42" s="22" t="s">
        <v>303</v>
      </c>
      <c r="D42" s="22" t="s">
        <v>303</v>
      </c>
      <c r="E42" s="5" t="s">
        <v>214</v>
      </c>
      <c r="F42" s="5" t="s">
        <v>132</v>
      </c>
      <c r="G42" s="3">
        <v>1</v>
      </c>
      <c r="H42" s="3"/>
      <c r="I42" s="3">
        <f>1810-19</f>
        <v>1791</v>
      </c>
      <c r="J42" t="s">
        <v>48</v>
      </c>
      <c r="K42" t="s">
        <v>49</v>
      </c>
      <c r="Q42">
        <v>5</v>
      </c>
      <c r="R42">
        <v>3</v>
      </c>
      <c r="S42">
        <v>1</v>
      </c>
      <c r="T42" s="1">
        <f>((Q42*316)+(R42*26.3)+(S42*2.2))/10</f>
        <v>166.11</v>
      </c>
      <c r="U42" t="s">
        <v>304</v>
      </c>
      <c r="AP42" s="21"/>
      <c r="AQ42" s="10">
        <v>1</v>
      </c>
      <c r="AR42" s="10">
        <v>1</v>
      </c>
      <c r="AS42" s="9"/>
      <c r="AT42" s="4"/>
      <c r="BC42" t="s">
        <v>305</v>
      </c>
      <c r="BD42" s="4" t="s">
        <v>235</v>
      </c>
      <c r="BE42" t="s">
        <v>297</v>
      </c>
      <c r="BF42" s="3" t="s">
        <v>50</v>
      </c>
      <c r="BG42" s="3">
        <v>5</v>
      </c>
      <c r="BH42">
        <v>2</v>
      </c>
      <c r="BK42" s="3">
        <v>1</v>
      </c>
      <c r="BL42">
        <v>1</v>
      </c>
      <c r="BQ42">
        <v>1</v>
      </c>
      <c r="BR42">
        <v>1</v>
      </c>
      <c r="CF42">
        <v>1</v>
      </c>
      <c r="CL42">
        <v>1</v>
      </c>
      <c r="CN42">
        <v>1</v>
      </c>
      <c r="CS42" s="4" t="s">
        <v>306</v>
      </c>
    </row>
    <row r="43" spans="1:98">
      <c r="B43" t="s">
        <v>295</v>
      </c>
      <c r="C43" s="22" t="s">
        <v>296</v>
      </c>
      <c r="D43" s="22" t="s">
        <v>296</v>
      </c>
      <c r="E43" s="5" t="s">
        <v>231</v>
      </c>
      <c r="F43" s="5" t="s">
        <v>232</v>
      </c>
      <c r="G43" s="3">
        <v>1</v>
      </c>
      <c r="H43" s="3"/>
      <c r="I43" s="3">
        <f>1809-26</f>
        <v>1783</v>
      </c>
      <c r="J43" t="s">
        <v>233</v>
      </c>
      <c r="K43" t="s">
        <v>49</v>
      </c>
      <c r="Q43">
        <v>5</v>
      </c>
      <c r="R43">
        <v>2</v>
      </c>
      <c r="T43" s="1">
        <f t="shared" ref="T43:T44" si="6">((Q43*316)+(R43*26.3)+(S43*2.2))/10</f>
        <v>163.26</v>
      </c>
      <c r="U43" t="s">
        <v>238</v>
      </c>
      <c r="AM43" s="9"/>
      <c r="AN43" s="9"/>
      <c r="AO43" s="9"/>
      <c r="AP43" s="9"/>
      <c r="AQ43" s="10">
        <v>1</v>
      </c>
      <c r="AR43" s="4">
        <v>1</v>
      </c>
      <c r="BC43" t="s">
        <v>143</v>
      </c>
      <c r="BD43" s="4" t="s">
        <v>235</v>
      </c>
      <c r="BE43" t="s">
        <v>297</v>
      </c>
      <c r="BF43" s="3" t="s">
        <v>50</v>
      </c>
      <c r="BG43" s="3">
        <v>2</v>
      </c>
      <c r="BH43">
        <v>2</v>
      </c>
      <c r="BK43" s="3">
        <v>1</v>
      </c>
      <c r="BQ43">
        <v>1</v>
      </c>
      <c r="BR43">
        <v>1</v>
      </c>
      <c r="CF43">
        <v>1</v>
      </c>
      <c r="CL43">
        <v>1</v>
      </c>
      <c r="CN43">
        <v>1</v>
      </c>
      <c r="CS43" s="4" t="s">
        <v>298</v>
      </c>
    </row>
    <row r="44" spans="1:98">
      <c r="B44" t="s">
        <v>299</v>
      </c>
      <c r="C44" s="22" t="s">
        <v>300</v>
      </c>
      <c r="D44" s="22" t="s">
        <v>300</v>
      </c>
      <c r="E44" s="5" t="s">
        <v>231</v>
      </c>
      <c r="F44" s="5" t="s">
        <v>232</v>
      </c>
      <c r="G44" s="3">
        <v>1</v>
      </c>
      <c r="H44" s="3"/>
      <c r="I44" s="3">
        <f>1809-24</f>
        <v>1785</v>
      </c>
      <c r="J44" t="s">
        <v>48</v>
      </c>
      <c r="K44" t="s">
        <v>49</v>
      </c>
      <c r="Q44">
        <v>5</v>
      </c>
      <c r="R44">
        <v>1</v>
      </c>
      <c r="T44" s="1">
        <f t="shared" si="6"/>
        <v>160.63</v>
      </c>
      <c r="U44" t="s">
        <v>238</v>
      </c>
      <c r="AM44" s="9"/>
      <c r="AN44" s="9"/>
      <c r="AO44" s="9"/>
      <c r="AP44" s="9"/>
      <c r="AQ44" s="10">
        <v>1</v>
      </c>
      <c r="AR44" s="4">
        <v>1</v>
      </c>
      <c r="BC44" t="s">
        <v>153</v>
      </c>
      <c r="BD44" s="4" t="s">
        <v>51</v>
      </c>
      <c r="BE44" t="s">
        <v>297</v>
      </c>
      <c r="BF44" s="3" t="s">
        <v>50</v>
      </c>
      <c r="BG44" s="3">
        <v>2</v>
      </c>
      <c r="BH44">
        <v>2</v>
      </c>
      <c r="BK44" s="3">
        <v>1</v>
      </c>
      <c r="BQ44">
        <v>1</v>
      </c>
      <c r="BR44">
        <v>1</v>
      </c>
      <c r="CF44">
        <v>1</v>
      </c>
      <c r="CL44">
        <v>1</v>
      </c>
      <c r="CS44" s="4" t="s">
        <v>301</v>
      </c>
    </row>
    <row r="45" spans="1:98">
      <c r="B45" t="s">
        <v>239</v>
      </c>
      <c r="C45" s="22" t="s">
        <v>240</v>
      </c>
      <c r="D45" s="25"/>
      <c r="E45" s="5"/>
      <c r="F45" s="5" t="s">
        <v>241</v>
      </c>
      <c r="G45" s="3"/>
      <c r="H45" s="3">
        <v>1</v>
      </c>
      <c r="I45" s="3">
        <f>1809-17</f>
        <v>1792</v>
      </c>
      <c r="J45" t="s">
        <v>48</v>
      </c>
      <c r="K45" t="s">
        <v>49</v>
      </c>
      <c r="Q45">
        <v>5</v>
      </c>
      <c r="R45">
        <v>0</v>
      </c>
      <c r="S45">
        <v>1</v>
      </c>
      <c r="T45" s="1">
        <f t="shared" ref="T45" si="7">((Q45*316)+(R45*26.3)+(S45*2.2))/10</f>
        <v>158.22</v>
      </c>
      <c r="U45" t="s">
        <v>242</v>
      </c>
      <c r="AQ45" s="24">
        <v>1</v>
      </c>
      <c r="AR45" s="4">
        <v>1</v>
      </c>
      <c r="BC45" t="s">
        <v>109</v>
      </c>
      <c r="BD45" s="4" t="s">
        <v>51</v>
      </c>
      <c r="BE45" t="s">
        <v>236</v>
      </c>
      <c r="BF45" s="3" t="s">
        <v>50</v>
      </c>
      <c r="BG45" s="3">
        <v>1</v>
      </c>
      <c r="BH45">
        <v>1</v>
      </c>
      <c r="BK45" s="3"/>
      <c r="BO45">
        <v>1</v>
      </c>
      <c r="BR45">
        <v>1</v>
      </c>
      <c r="CS45" s="4" t="s">
        <v>243</v>
      </c>
    </row>
    <row r="46" spans="1:98">
      <c r="B46" t="s">
        <v>246</v>
      </c>
      <c r="C46" s="22" t="s">
        <v>244</v>
      </c>
      <c r="D46" s="22" t="s">
        <v>244</v>
      </c>
      <c r="E46" s="5" t="s">
        <v>112</v>
      </c>
      <c r="F46" s="5" t="s">
        <v>113</v>
      </c>
      <c r="G46" s="3">
        <v>1</v>
      </c>
      <c r="H46" s="3"/>
      <c r="I46" s="3">
        <f>1805-18</f>
        <v>1787</v>
      </c>
      <c r="J46" t="s">
        <v>48</v>
      </c>
      <c r="K46" t="s">
        <v>49</v>
      </c>
      <c r="Q46">
        <v>5</v>
      </c>
      <c r="R46">
        <v>1</v>
      </c>
      <c r="S46">
        <v>3</v>
      </c>
      <c r="T46" s="1">
        <f>((Q46*316)+(R46*26.3)+(S46*2.2))/10</f>
        <v>161.29</v>
      </c>
      <c r="U46" t="s">
        <v>247</v>
      </c>
      <c r="AM46" s="9"/>
      <c r="AN46" s="9"/>
      <c r="AO46" s="9"/>
      <c r="AP46" s="9"/>
      <c r="AQ46" s="10">
        <v>1</v>
      </c>
      <c r="AR46" s="4">
        <v>1</v>
      </c>
      <c r="BC46" t="s">
        <v>248</v>
      </c>
      <c r="BD46" s="4" t="s">
        <v>154</v>
      </c>
      <c r="BE46" t="s">
        <v>245</v>
      </c>
      <c r="BF46" s="3" t="s">
        <v>50</v>
      </c>
      <c r="BG46" s="3">
        <v>7</v>
      </c>
      <c r="BH46">
        <v>2</v>
      </c>
      <c r="BK46" s="3">
        <v>1</v>
      </c>
      <c r="BQ46">
        <v>1</v>
      </c>
      <c r="BR46">
        <v>1</v>
      </c>
      <c r="CL46">
        <v>1</v>
      </c>
      <c r="CN46">
        <v>1</v>
      </c>
      <c r="CP46">
        <v>1</v>
      </c>
      <c r="CS46" s="4" t="s">
        <v>249</v>
      </c>
    </row>
    <row r="47" spans="1:98">
      <c r="B47" t="s">
        <v>286</v>
      </c>
      <c r="C47" s="22" t="s">
        <v>287</v>
      </c>
      <c r="D47" s="22" t="s">
        <v>287</v>
      </c>
      <c r="E47" s="5" t="s">
        <v>293</v>
      </c>
      <c r="F47" s="5" t="s">
        <v>132</v>
      </c>
      <c r="G47" s="3">
        <v>1</v>
      </c>
      <c r="H47" s="3"/>
      <c r="I47" s="3">
        <v>1786</v>
      </c>
      <c r="J47" t="s">
        <v>48</v>
      </c>
      <c r="K47" t="s">
        <v>288</v>
      </c>
      <c r="Q47">
        <v>4</v>
      </c>
      <c r="R47">
        <v>11</v>
      </c>
      <c r="T47" s="1">
        <f>((Q47*316)+(R47*26.3)+(S47*2.2))/10</f>
        <v>155.32999999999998</v>
      </c>
      <c r="U47" t="s">
        <v>289</v>
      </c>
      <c r="AQ47" s="24">
        <v>1</v>
      </c>
      <c r="AR47" s="4">
        <v>1</v>
      </c>
      <c r="AS47" s="9"/>
      <c r="AT47" s="9"/>
      <c r="AU47" s="9"/>
      <c r="AV47" s="9"/>
      <c r="AW47" s="10"/>
      <c r="AX47" s="9"/>
      <c r="AY47" s="9"/>
      <c r="AZ47" s="4"/>
      <c r="BC47" t="s">
        <v>290</v>
      </c>
      <c r="BD47" s="4" t="s">
        <v>51</v>
      </c>
      <c r="BE47" t="s">
        <v>291</v>
      </c>
      <c r="BF47" s="3" t="s">
        <v>50</v>
      </c>
      <c r="BG47" s="3">
        <v>6</v>
      </c>
      <c r="BH47">
        <v>3</v>
      </c>
      <c r="BK47" s="3"/>
      <c r="BO47">
        <v>1</v>
      </c>
      <c r="BP47">
        <v>1</v>
      </c>
      <c r="BQ47">
        <v>1</v>
      </c>
      <c r="BR47">
        <v>1</v>
      </c>
      <c r="CF47">
        <v>1</v>
      </c>
      <c r="CL47">
        <v>1</v>
      </c>
      <c r="CQ47">
        <v>1</v>
      </c>
      <c r="CR47">
        <v>1</v>
      </c>
      <c r="CS47" s="4" t="s">
        <v>292</v>
      </c>
    </row>
    <row r="48" spans="1:98">
      <c r="B48" t="s">
        <v>250</v>
      </c>
      <c r="C48" s="22" t="s">
        <v>251</v>
      </c>
      <c r="D48" s="22"/>
      <c r="E48" s="5"/>
      <c r="F48" s="5" t="s">
        <v>252</v>
      </c>
      <c r="G48" s="3"/>
      <c r="H48" s="3">
        <v>1</v>
      </c>
      <c r="I48" s="3">
        <f>1809-30</f>
        <v>1779</v>
      </c>
      <c r="J48" t="s">
        <v>233</v>
      </c>
      <c r="K48" t="s">
        <v>49</v>
      </c>
      <c r="Q48">
        <v>5</v>
      </c>
      <c r="R48">
        <v>4</v>
      </c>
      <c r="T48" s="1">
        <f>((Q48*316)+(R48*26.3)+(S48*2.2))/10</f>
        <v>168.52</v>
      </c>
      <c r="U48" t="s">
        <v>253</v>
      </c>
      <c r="AG48" s="30"/>
      <c r="AH48" s="30"/>
      <c r="AI48" s="30"/>
      <c r="AJ48" s="30"/>
      <c r="AK48" s="30"/>
      <c r="AL48" s="30"/>
      <c r="AM48" s="30"/>
      <c r="AN48" s="30"/>
      <c r="AO48" s="30"/>
      <c r="AP48" s="30"/>
      <c r="AQ48" s="4">
        <v>1</v>
      </c>
      <c r="BC48" t="s">
        <v>254</v>
      </c>
      <c r="BD48" s="4" t="s">
        <v>235</v>
      </c>
      <c r="BE48" t="s">
        <v>236</v>
      </c>
      <c r="BF48" s="3" t="s">
        <v>50</v>
      </c>
      <c r="BG48" s="3">
        <v>1</v>
      </c>
      <c r="BH48">
        <v>1</v>
      </c>
      <c r="BK48" s="3"/>
      <c r="BO48">
        <v>1</v>
      </c>
      <c r="BR48">
        <v>1</v>
      </c>
      <c r="CN48">
        <v>1</v>
      </c>
      <c r="CS48" s="4" t="s">
        <v>237</v>
      </c>
    </row>
    <row r="49" spans="2:97">
      <c r="B49" t="s">
        <v>255</v>
      </c>
      <c r="C49" s="25" t="s">
        <v>256</v>
      </c>
      <c r="D49" s="25"/>
      <c r="E49" s="5"/>
      <c r="F49" s="5" t="s">
        <v>257</v>
      </c>
      <c r="G49" s="3"/>
      <c r="H49" s="3">
        <v>1</v>
      </c>
      <c r="I49" s="3">
        <f>1809-18</f>
        <v>1791</v>
      </c>
      <c r="J49" t="s">
        <v>48</v>
      </c>
      <c r="K49" t="s">
        <v>49</v>
      </c>
      <c r="T49" s="1"/>
      <c r="U49" t="s">
        <v>258</v>
      </c>
      <c r="AQ49" s="4">
        <v>1</v>
      </c>
      <c r="BC49" t="s">
        <v>259</v>
      </c>
      <c r="BD49" s="4" t="s">
        <v>235</v>
      </c>
      <c r="BE49" t="s">
        <v>236</v>
      </c>
      <c r="BF49" s="3" t="s">
        <v>50</v>
      </c>
      <c r="BG49" s="3">
        <v>1</v>
      </c>
      <c r="BH49">
        <v>1</v>
      </c>
      <c r="BK49" s="3"/>
      <c r="BO49">
        <v>1</v>
      </c>
      <c r="BR49">
        <v>1</v>
      </c>
      <c r="CN49">
        <v>1</v>
      </c>
      <c r="CS49" s="4" t="s">
        <v>260</v>
      </c>
    </row>
    <row r="50" spans="2:97">
      <c r="B50" t="s">
        <v>261</v>
      </c>
      <c r="C50" s="25" t="s">
        <v>262</v>
      </c>
      <c r="D50" s="25" t="s">
        <v>262</v>
      </c>
      <c r="E50" s="5" t="s">
        <v>263</v>
      </c>
      <c r="F50" s="5" t="s">
        <v>232</v>
      </c>
      <c r="G50" s="3">
        <v>1</v>
      </c>
      <c r="H50" s="3"/>
      <c r="I50" s="3">
        <f>1809-24</f>
        <v>1785</v>
      </c>
      <c r="J50" t="s">
        <v>233</v>
      </c>
      <c r="K50" t="s">
        <v>49</v>
      </c>
      <c r="Q50">
        <v>5</v>
      </c>
      <c r="R50">
        <v>1</v>
      </c>
      <c r="S50">
        <v>1</v>
      </c>
      <c r="T50" s="1">
        <f>((Q50*316)+(R50*26.3)+(S50*2.2))/10</f>
        <v>160.85</v>
      </c>
      <c r="U50" t="s">
        <v>267</v>
      </c>
      <c r="AQ50" s="4">
        <v>1</v>
      </c>
      <c r="BC50" t="s">
        <v>264</v>
      </c>
      <c r="BD50" s="4" t="s">
        <v>265</v>
      </c>
      <c r="BE50" t="s">
        <v>236</v>
      </c>
      <c r="BF50" s="3" t="s">
        <v>50</v>
      </c>
      <c r="BG50" s="3">
        <v>1</v>
      </c>
      <c r="BH50">
        <v>1</v>
      </c>
      <c r="BK50" s="3" t="s">
        <v>135</v>
      </c>
      <c r="BQ50">
        <v>1</v>
      </c>
      <c r="BR50">
        <v>1</v>
      </c>
      <c r="CL50">
        <v>1</v>
      </c>
      <c r="CS50" s="4" t="s">
        <v>266</v>
      </c>
    </row>
    <row r="51" spans="2:97" ht="16" customHeight="1">
      <c r="B51" s="23" t="s">
        <v>268</v>
      </c>
      <c r="T51" s="1"/>
    </row>
    <row r="52" spans="2:97">
      <c r="B52" t="s">
        <v>269</v>
      </c>
      <c r="C52" s="22" t="s">
        <v>270</v>
      </c>
      <c r="D52" s="22"/>
      <c r="E52" s="5"/>
      <c r="F52" s="5" t="s">
        <v>232</v>
      </c>
      <c r="G52" s="3">
        <v>1</v>
      </c>
      <c r="H52" s="3"/>
      <c r="I52" s="3">
        <f>1809-25</f>
        <v>1784</v>
      </c>
      <c r="J52" t="s">
        <v>233</v>
      </c>
      <c r="K52" t="s">
        <v>49</v>
      </c>
      <c r="Q52">
        <v>5</v>
      </c>
      <c r="R52">
        <v>3</v>
      </c>
      <c r="S52">
        <v>2</v>
      </c>
      <c r="T52" s="1">
        <f>((Q52*316)+(R52*26.3)+(S52*2.2))/10</f>
        <v>166.33</v>
      </c>
      <c r="U52" t="s">
        <v>273</v>
      </c>
      <c r="AQ52" s="4">
        <v>1</v>
      </c>
      <c r="BC52" t="s">
        <v>271</v>
      </c>
      <c r="BD52" s="4" t="s">
        <v>235</v>
      </c>
      <c r="BE52" t="s">
        <v>272</v>
      </c>
      <c r="BF52" s="3" t="s">
        <v>50</v>
      </c>
      <c r="BG52" s="3">
        <v>1</v>
      </c>
      <c r="BH52">
        <v>2</v>
      </c>
      <c r="BK52" s="3">
        <v>1</v>
      </c>
      <c r="BQ52">
        <v>1</v>
      </c>
      <c r="BR52">
        <v>1</v>
      </c>
      <c r="CL52">
        <v>1</v>
      </c>
      <c r="CN52">
        <v>1</v>
      </c>
      <c r="CS52" s="4" t="s">
        <v>237</v>
      </c>
    </row>
    <row r="53" spans="2:97" ht="16" customHeight="1">
      <c r="B53" s="23" t="s">
        <v>317</v>
      </c>
      <c r="C53" s="23"/>
      <c r="T53" s="1"/>
    </row>
    <row r="54" spans="2:97">
      <c r="B54" t="s">
        <v>274</v>
      </c>
      <c r="C54" s="22" t="s">
        <v>275</v>
      </c>
      <c r="D54" s="22" t="s">
        <v>275</v>
      </c>
      <c r="E54" s="5" t="s">
        <v>276</v>
      </c>
      <c r="F54" s="5" t="s">
        <v>277</v>
      </c>
      <c r="G54" s="3">
        <v>1</v>
      </c>
      <c r="H54" s="3"/>
      <c r="I54" s="3">
        <f>1809-18</f>
        <v>1791</v>
      </c>
      <c r="J54" t="s">
        <v>48</v>
      </c>
      <c r="K54" t="s">
        <v>49</v>
      </c>
      <c r="T54" s="1"/>
      <c r="U54" t="s">
        <v>278</v>
      </c>
      <c r="AQ54" s="4">
        <v>1</v>
      </c>
      <c r="BC54" t="s">
        <v>279</v>
      </c>
      <c r="BD54" s="4" t="s">
        <v>160</v>
      </c>
      <c r="BE54" t="s">
        <v>280</v>
      </c>
      <c r="BF54" s="3" t="s">
        <v>50</v>
      </c>
      <c r="BG54" s="3">
        <v>1</v>
      </c>
      <c r="BH54">
        <v>1</v>
      </c>
      <c r="BK54" s="3"/>
      <c r="BO54">
        <v>1</v>
      </c>
      <c r="BR54">
        <v>1</v>
      </c>
      <c r="CM54">
        <v>1</v>
      </c>
      <c r="CS54" s="4" t="s">
        <v>281</v>
      </c>
    </row>
    <row r="55" spans="2:97">
      <c r="B55" t="s">
        <v>282</v>
      </c>
      <c r="C55" s="22" t="s">
        <v>283</v>
      </c>
      <c r="D55" s="22"/>
      <c r="E55" s="5"/>
      <c r="F55" s="5" t="s">
        <v>277</v>
      </c>
      <c r="G55" s="3">
        <v>1</v>
      </c>
      <c r="H55" s="3"/>
      <c r="I55" s="3">
        <f>1809-18</f>
        <v>1791</v>
      </c>
      <c r="J55" t="s">
        <v>48</v>
      </c>
      <c r="K55" t="s">
        <v>49</v>
      </c>
      <c r="T55" s="1"/>
      <c r="U55" t="s">
        <v>228</v>
      </c>
      <c r="AQ55" s="24">
        <v>1</v>
      </c>
      <c r="AR55" s="4">
        <v>1</v>
      </c>
      <c r="BC55" t="s">
        <v>284</v>
      </c>
      <c r="BD55" s="4" t="s">
        <v>51</v>
      </c>
      <c r="BE55" t="s">
        <v>280</v>
      </c>
      <c r="BF55" s="3" t="s">
        <v>50</v>
      </c>
      <c r="BG55" s="3">
        <v>2</v>
      </c>
      <c r="BH55">
        <v>1</v>
      </c>
      <c r="BK55" s="3">
        <v>1</v>
      </c>
      <c r="BR55">
        <v>1</v>
      </c>
      <c r="CS55" s="4" t="s">
        <v>285</v>
      </c>
    </row>
    <row r="56" spans="2:97" ht="16" customHeight="1">
      <c r="T56" s="1"/>
    </row>
    <row r="57" spans="2:97" ht="16" customHeight="1">
      <c r="B57" s="20"/>
      <c r="AE57" s="36" t="s">
        <v>65</v>
      </c>
      <c r="AF57" s="36"/>
      <c r="AG57" s="36"/>
      <c r="AH57" s="36"/>
      <c r="AI57" s="36"/>
      <c r="AJ57" s="36"/>
      <c r="AK57" s="36"/>
      <c r="AL57" s="36"/>
      <c r="AM57" s="36"/>
      <c r="AN57" s="36"/>
      <c r="AO57" s="36"/>
      <c r="AP57" s="36"/>
      <c r="AQ57" s="36"/>
      <c r="AR57" s="36"/>
      <c r="AS57" s="36"/>
      <c r="AT57" s="36"/>
      <c r="AU57" s="36"/>
      <c r="AV57" s="36"/>
      <c r="AW57" s="36"/>
      <c r="AX57" s="36"/>
      <c r="AY57" s="36"/>
      <c r="AZ57" s="36"/>
      <c r="BA57" s="36"/>
      <c r="BB57" s="36"/>
      <c r="BC57" s="36"/>
    </row>
    <row r="58" spans="2:97" ht="16" customHeight="1">
      <c r="B58" s="20"/>
      <c r="T58" s="1"/>
      <c r="AE58" s="36"/>
      <c r="AF58" s="36"/>
      <c r="AG58" s="36"/>
      <c r="AH58" s="36"/>
      <c r="AI58" s="36"/>
      <c r="AJ58" s="36"/>
      <c r="AK58" s="36"/>
      <c r="AL58" s="36"/>
      <c r="AM58" s="36"/>
      <c r="AN58" s="36"/>
      <c r="AO58" s="36"/>
      <c r="AP58" s="36"/>
      <c r="AQ58" s="36"/>
      <c r="AR58" s="36"/>
      <c r="AS58" s="36"/>
      <c r="AT58" s="36"/>
      <c r="AU58" s="36"/>
      <c r="AV58" s="36"/>
      <c r="AW58" s="36"/>
      <c r="AX58" s="36"/>
      <c r="AY58" s="36"/>
      <c r="AZ58" s="36"/>
      <c r="BA58" s="36"/>
      <c r="BB58" s="36"/>
      <c r="BC58" s="36"/>
    </row>
    <row r="59" spans="2:97" ht="19">
      <c r="C59" s="14"/>
      <c r="D59" s="14"/>
      <c r="E59" s="14"/>
      <c r="F59" s="14"/>
      <c r="G59" s="19"/>
      <c r="H59" s="19"/>
      <c r="AE59" s="13">
        <v>1</v>
      </c>
      <c r="AG59" s="34" t="s">
        <v>313</v>
      </c>
      <c r="AH59" s="34"/>
      <c r="AI59" s="34"/>
      <c r="AJ59" s="34"/>
      <c r="AK59" s="34"/>
      <c r="AL59" s="34"/>
      <c r="AM59" s="34"/>
      <c r="AN59" s="34"/>
      <c r="AO59" s="34"/>
      <c r="AP59" s="34"/>
      <c r="AQ59" s="34"/>
      <c r="AR59" s="34"/>
      <c r="AS59" s="34"/>
      <c r="AT59" s="34"/>
      <c r="AU59" s="34"/>
      <c r="AV59" s="34"/>
      <c r="AW59" s="34"/>
      <c r="AX59" s="34"/>
      <c r="AY59" s="34"/>
      <c r="AZ59" s="34"/>
      <c r="BA59" s="34"/>
      <c r="BB59" s="34"/>
      <c r="BC59" s="34"/>
    </row>
    <row r="60" spans="2:97" ht="16" customHeight="1">
      <c r="B60" s="13"/>
      <c r="C60" s="17"/>
      <c r="D60" s="17"/>
      <c r="E60" s="17"/>
      <c r="F60" s="17"/>
      <c r="G60" s="19"/>
      <c r="H60" s="19"/>
      <c r="AE60" s="26"/>
      <c r="AG60" s="34" t="s">
        <v>314</v>
      </c>
      <c r="AH60" s="34"/>
      <c r="AI60" s="34"/>
      <c r="AJ60" s="34"/>
      <c r="AK60" s="34"/>
      <c r="AL60" s="34"/>
      <c r="AM60" s="34"/>
      <c r="AN60" s="34"/>
      <c r="AO60" s="34"/>
      <c r="AP60" s="34"/>
      <c r="AQ60" s="34"/>
      <c r="AR60" s="34"/>
      <c r="AS60" s="34"/>
      <c r="AT60" s="34"/>
      <c r="AU60" s="34"/>
      <c r="AV60" s="34"/>
      <c r="AW60" s="34"/>
      <c r="AX60" s="34"/>
      <c r="AY60" s="34"/>
      <c r="AZ60" s="34"/>
      <c r="BA60" s="34"/>
      <c r="BB60" s="34"/>
      <c r="BC60" s="34"/>
    </row>
    <row r="61" spans="2:97" ht="16" customHeight="1">
      <c r="B61" s="13"/>
      <c r="C61" s="17"/>
      <c r="D61" s="17"/>
      <c r="E61" s="17"/>
      <c r="F61" s="17"/>
      <c r="G61" s="19"/>
      <c r="H61" s="19"/>
      <c r="AE61" s="10"/>
      <c r="AG61" s="34" t="s">
        <v>309</v>
      </c>
      <c r="AH61" s="34"/>
      <c r="AI61" s="34"/>
      <c r="AJ61" s="34"/>
      <c r="AK61" s="34"/>
      <c r="AL61" s="34"/>
      <c r="AM61" s="34"/>
      <c r="AN61" s="34"/>
      <c r="AO61" s="34"/>
      <c r="AP61" s="34"/>
      <c r="AQ61" s="34"/>
      <c r="AR61" s="34"/>
      <c r="AS61" s="34"/>
      <c r="AT61" s="34"/>
      <c r="AU61" s="34"/>
      <c r="AV61" s="34"/>
      <c r="AW61" s="34"/>
      <c r="AX61" s="34"/>
      <c r="AY61" s="34"/>
      <c r="AZ61" s="34"/>
      <c r="BA61" s="34"/>
      <c r="BB61" s="34"/>
      <c r="BC61" s="34"/>
    </row>
    <row r="62" spans="2:97" ht="16" customHeight="1">
      <c r="C62" s="18"/>
      <c r="D62" s="18"/>
      <c r="E62" s="18"/>
      <c r="F62" s="18"/>
      <c r="G62" s="19"/>
      <c r="H62" s="19"/>
      <c r="AE62" s="9"/>
      <c r="AG62" s="34" t="s">
        <v>307</v>
      </c>
      <c r="AH62" s="34"/>
      <c r="AI62" s="34"/>
      <c r="AJ62" s="34"/>
      <c r="AK62" s="34"/>
      <c r="AL62" s="34"/>
      <c r="AM62" s="34"/>
      <c r="AN62" s="34"/>
      <c r="AO62" s="34"/>
      <c r="AP62" s="34"/>
      <c r="AQ62" s="34"/>
      <c r="AR62" s="34"/>
      <c r="AS62" s="34"/>
      <c r="AT62" s="34"/>
      <c r="AU62" s="34"/>
      <c r="AV62" s="34"/>
      <c r="AW62" s="34"/>
      <c r="AX62" s="34"/>
      <c r="AY62" s="34"/>
      <c r="AZ62" s="34"/>
      <c r="BA62" s="34"/>
      <c r="BB62" s="34"/>
      <c r="BC62" s="34"/>
    </row>
    <row r="63" spans="2:97" ht="16" customHeight="1">
      <c r="C63" s="18"/>
      <c r="D63" s="18"/>
      <c r="E63" s="18"/>
      <c r="F63" s="18"/>
      <c r="G63" s="19"/>
      <c r="H63" s="19"/>
      <c r="AE63" s="4"/>
      <c r="AG63" s="35" t="s">
        <v>145</v>
      </c>
      <c r="AH63" s="35"/>
      <c r="AI63" s="35"/>
      <c r="AJ63" s="35"/>
      <c r="AK63" s="35"/>
      <c r="AL63" s="35"/>
      <c r="AM63" s="35"/>
      <c r="AN63" s="35"/>
      <c r="AO63" s="35"/>
      <c r="AP63" s="35"/>
      <c r="AQ63" s="35"/>
      <c r="AR63" s="35"/>
      <c r="AS63" s="35"/>
      <c r="AT63" s="35"/>
      <c r="AU63" s="35"/>
      <c r="AV63" s="35"/>
      <c r="AW63" s="35"/>
      <c r="AX63" s="35"/>
      <c r="AY63" s="35"/>
      <c r="AZ63" s="35"/>
      <c r="BA63" s="35"/>
      <c r="BB63" s="35"/>
      <c r="BC63" s="35"/>
    </row>
    <row r="64" spans="2:97" ht="19">
      <c r="C64" s="14"/>
      <c r="D64" s="14"/>
      <c r="E64" s="14"/>
      <c r="F64" s="14"/>
      <c r="G64" s="19"/>
      <c r="H64" s="19"/>
      <c r="AE64" s="31"/>
      <c r="AG64" s="35" t="s">
        <v>308</v>
      </c>
      <c r="AH64" s="35"/>
      <c r="AI64" s="35"/>
      <c r="AJ64" s="35"/>
      <c r="AK64" s="35"/>
      <c r="AL64" s="35"/>
      <c r="AM64" s="35"/>
      <c r="AN64" s="35"/>
      <c r="AO64" s="35"/>
      <c r="AP64" s="35"/>
      <c r="AQ64" s="35"/>
      <c r="AR64" s="35"/>
      <c r="AS64" s="35"/>
      <c r="AT64" s="35"/>
      <c r="AU64" s="35"/>
      <c r="AV64" s="35"/>
      <c r="AW64" s="35"/>
      <c r="AX64" s="35"/>
      <c r="AY64" s="35"/>
      <c r="AZ64" s="35"/>
      <c r="BA64" s="35"/>
      <c r="BB64" s="35"/>
      <c r="BC64" s="35"/>
    </row>
    <row r="65" spans="3:55" ht="19">
      <c r="C65" s="14"/>
      <c r="D65" s="14"/>
      <c r="E65" s="14"/>
      <c r="F65" s="14"/>
      <c r="G65" s="19"/>
      <c r="H65" s="19"/>
      <c r="AE65" s="21"/>
      <c r="AG65" s="35" t="s">
        <v>311</v>
      </c>
      <c r="AH65" s="35"/>
      <c r="AI65" s="35"/>
      <c r="AJ65" s="35"/>
      <c r="AK65" s="35"/>
      <c r="AL65" s="35"/>
      <c r="AM65" s="35"/>
      <c r="AN65" s="35"/>
      <c r="AO65" s="35"/>
      <c r="AP65" s="35"/>
      <c r="AQ65" s="35"/>
      <c r="AR65" s="35"/>
      <c r="AS65" s="35"/>
      <c r="AT65" s="35"/>
      <c r="AU65" s="35"/>
      <c r="AV65" s="35"/>
      <c r="AW65" s="35"/>
      <c r="AX65" s="35"/>
      <c r="AY65" s="35"/>
      <c r="AZ65" s="35"/>
      <c r="BA65" s="35"/>
      <c r="BB65" s="35"/>
      <c r="BC65" s="35"/>
    </row>
    <row r="66" spans="3:55" ht="19">
      <c r="C66" s="14"/>
      <c r="D66" s="14"/>
      <c r="E66" s="14"/>
      <c r="F66" s="14"/>
      <c r="G66" s="19"/>
      <c r="H66" s="19"/>
      <c r="AE66" s="30"/>
      <c r="AG66" s="34" t="s">
        <v>312</v>
      </c>
      <c r="AH66" s="34"/>
      <c r="AI66" s="34"/>
      <c r="AJ66" s="34"/>
      <c r="AK66" s="34"/>
      <c r="AL66" s="34"/>
      <c r="AM66" s="34"/>
      <c r="AN66" s="34"/>
      <c r="AO66" s="34"/>
      <c r="AP66" s="34"/>
      <c r="AQ66" s="34"/>
      <c r="AR66" s="34"/>
      <c r="AS66" s="34"/>
      <c r="AT66" s="34"/>
      <c r="AU66" s="34"/>
      <c r="AV66" s="34"/>
      <c r="AW66" s="34"/>
      <c r="AX66" s="34"/>
      <c r="AY66" s="34"/>
      <c r="AZ66" s="34"/>
      <c r="BA66" s="34"/>
      <c r="BB66" s="34"/>
      <c r="BC66" s="34"/>
    </row>
    <row r="67" spans="3:55" ht="16" customHeight="1">
      <c r="C67" s="16"/>
      <c r="D67" s="16"/>
      <c r="E67" s="16"/>
      <c r="F67" s="16"/>
      <c r="G67" s="19"/>
      <c r="H67" s="15"/>
    </row>
    <row r="68" spans="3:55" ht="16" customHeight="1">
      <c r="C68" s="16"/>
      <c r="D68" s="16"/>
      <c r="E68" s="16"/>
      <c r="F68" s="16"/>
      <c r="G68" s="19"/>
      <c r="H68" s="15"/>
    </row>
    <row r="69" spans="3:55">
      <c r="G69" s="19"/>
      <c r="H69" s="15"/>
    </row>
    <row r="70" spans="3:55">
      <c r="G70" s="19"/>
      <c r="H70" s="15"/>
    </row>
    <row r="71" spans="3:55">
      <c r="G71" s="12"/>
      <c r="H71" s="11"/>
    </row>
  </sheetData>
  <mergeCells count="95">
    <mergeCell ref="AN1:AN2"/>
    <mergeCell ref="BA1:BA2"/>
    <mergeCell ref="AP1:AP2"/>
    <mergeCell ref="AQ1:AQ2"/>
    <mergeCell ref="AR1:AR2"/>
    <mergeCell ref="AS1:AS2"/>
    <mergeCell ref="AT1:AT2"/>
    <mergeCell ref="AU1:AU2"/>
    <mergeCell ref="AV1:AV2"/>
    <mergeCell ref="AW1:AW2"/>
    <mergeCell ref="AX1:AX2"/>
    <mergeCell ref="V1:V2"/>
    <mergeCell ref="W1:W2"/>
    <mergeCell ref="AA1:AA2"/>
    <mergeCell ref="AB1:AB2"/>
    <mergeCell ref="AE1:AE2"/>
    <mergeCell ref="X1:X2"/>
    <mergeCell ref="Y1:Y2"/>
    <mergeCell ref="Z1:Z2"/>
    <mergeCell ref="CS1:CS2"/>
    <mergeCell ref="A1:A2"/>
    <mergeCell ref="J1:J2"/>
    <mergeCell ref="B1:B2"/>
    <mergeCell ref="C1:F1"/>
    <mergeCell ref="G1:G2"/>
    <mergeCell ref="H1:H2"/>
    <mergeCell ref="I1:I2"/>
    <mergeCell ref="AC1:AC2"/>
    <mergeCell ref="K1:K2"/>
    <mergeCell ref="L1:N1"/>
    <mergeCell ref="O1:P1"/>
    <mergeCell ref="Q1:T1"/>
    <mergeCell ref="U1:U2"/>
    <mergeCell ref="AO1:AO2"/>
    <mergeCell ref="AD1:AD2"/>
    <mergeCell ref="AF1:AF2"/>
    <mergeCell ref="CR1:CR2"/>
    <mergeCell ref="CM1:CM2"/>
    <mergeCell ref="CB1:CB2"/>
    <mergeCell ref="CC1:CC2"/>
    <mergeCell ref="CD1:CD2"/>
    <mergeCell ref="CE1:CE2"/>
    <mergeCell ref="CF1:CF2"/>
    <mergeCell ref="CG1:CG2"/>
    <mergeCell ref="CH1:CH2"/>
    <mergeCell ref="CI1:CI2"/>
    <mergeCell ref="CJ1:CJ2"/>
    <mergeCell ref="CK1:CK2"/>
    <mergeCell ref="CL1:CL2"/>
    <mergeCell ref="AJ1:AJ2"/>
    <mergeCell ref="AK1:AK2"/>
    <mergeCell ref="CN1:CN2"/>
    <mergeCell ref="CO1:CO2"/>
    <mergeCell ref="CP1:CP2"/>
    <mergeCell ref="CQ1:CQ2"/>
    <mergeCell ref="CA1:CA2"/>
    <mergeCell ref="BX1:BX2"/>
    <mergeCell ref="BY1:BY2"/>
    <mergeCell ref="BN1:BN2"/>
    <mergeCell ref="BO1:BO2"/>
    <mergeCell ref="BP1:BP2"/>
    <mergeCell ref="BQ1:BQ2"/>
    <mergeCell ref="BR1:BT1"/>
    <mergeCell ref="BZ1:BZ2"/>
    <mergeCell ref="BM1:BM2"/>
    <mergeCell ref="BB1:BB2"/>
    <mergeCell ref="BC1:BC2"/>
    <mergeCell ref="BD1:BD2"/>
    <mergeCell ref="BE1:BE2"/>
    <mergeCell ref="BF1:BF2"/>
    <mergeCell ref="BG1:BG2"/>
    <mergeCell ref="BH1:BH2"/>
    <mergeCell ref="BI1:BI2"/>
    <mergeCell ref="BJ1:BJ2"/>
    <mergeCell ref="BK1:BK2"/>
    <mergeCell ref="BL1:BL2"/>
    <mergeCell ref="BU1:BU2"/>
    <mergeCell ref="BV1:BV2"/>
    <mergeCell ref="BW1:BW2"/>
    <mergeCell ref="AG1:AG2"/>
    <mergeCell ref="AH1:AH2"/>
    <mergeCell ref="AI1:AI2"/>
    <mergeCell ref="AG66:BC66"/>
    <mergeCell ref="AG60:BC60"/>
    <mergeCell ref="AG61:BC61"/>
    <mergeCell ref="AG62:BC62"/>
    <mergeCell ref="AG63:BC63"/>
    <mergeCell ref="AG64:BC64"/>
    <mergeCell ref="AG65:BC65"/>
    <mergeCell ref="AG59:BC59"/>
    <mergeCell ref="AY1:AY2"/>
    <mergeCell ref="AZ1:AZ2"/>
    <mergeCell ref="AE57:BC58"/>
    <mergeCell ref="AL1:AL2"/>
    <mergeCell ref="AM1:AM2"/>
  </mergeCells>
  <hyperlinks>
    <hyperlink ref="C4" r:id="rId1" xr:uid="{E58DC841-1417-3845-BA9C-9291DEAA72F4}"/>
    <hyperlink ref="C5" r:id="rId2" xr:uid="{41907242-6EBD-C84E-8064-296532CF1135}"/>
    <hyperlink ref="D5" r:id="rId3" xr:uid="{1EA3830C-2DF9-5943-8098-7729FFAC37DB}"/>
    <hyperlink ref="C6" r:id="rId4" xr:uid="{52BCFC26-D405-3048-B238-08E515359734}"/>
    <hyperlink ref="C8" r:id="rId5" xr:uid="{A752EE12-CC3A-1142-AFE9-D90304033ECE}"/>
    <hyperlink ref="D8" r:id="rId6" xr:uid="{4B57A53A-9373-A840-90F1-0703EAA48639}"/>
    <hyperlink ref="D7" r:id="rId7" xr:uid="{6CE88E5D-7D66-A14B-8599-4A39157E6F80}"/>
    <hyperlink ref="C9" r:id="rId8" xr:uid="{DE8F938F-D910-E244-ACA9-6BB6540B1FC6}"/>
    <hyperlink ref="D9" r:id="rId9" xr:uid="{99556A78-BEF0-494F-9667-209CC4780183}"/>
    <hyperlink ref="C10" r:id="rId10" xr:uid="{0ED07614-6EE4-8042-9615-77682F5A62C1}"/>
    <hyperlink ref="C12" r:id="rId11" xr:uid="{A5E91372-219C-9C4D-8F50-98AF1D0B6C24}"/>
    <hyperlink ref="D12" r:id="rId12" xr:uid="{2993F45E-CD0F-8A4C-B4AB-0A8C150A4A40}"/>
    <hyperlink ref="C13" r:id="rId13" xr:uid="{21120A08-7AAB-D340-8B3B-8B26BC0A9175}"/>
    <hyperlink ref="C16" r:id="rId14" xr:uid="{AC5D5450-57FA-CF44-BA01-843C9D181F9C}"/>
    <hyperlink ref="D16" r:id="rId15" xr:uid="{8842C5C7-6550-2A4F-B1C8-8CEE7A4A1657}"/>
    <hyperlink ref="C17" r:id="rId16" xr:uid="{AF5933EE-0AF2-7A40-B9F1-012545D3D4CD}"/>
    <hyperlink ref="D17" r:id="rId17" xr:uid="{F634D7A1-E9DB-3644-AF0E-73B9AC4E43C4}"/>
    <hyperlink ref="C19" r:id="rId18" xr:uid="{5049F64E-C11F-F444-BE47-70904C27F648}"/>
    <hyperlink ref="D19" r:id="rId19" xr:uid="{E618C1C0-2BFD-804E-86A3-D10267FFABE2}"/>
    <hyperlink ref="C15" r:id="rId20" display="https://www.geonames.org/708224/" xr:uid="{A8F3C2B0-7031-3F46-B88B-E22E2A321E80}"/>
    <hyperlink ref="D15" r:id="rId21" display="https://www.geonames.org/708224/" xr:uid="{8C4F4724-E7B7-854F-821B-C39AF460BA46}"/>
    <hyperlink ref="C21" r:id="rId22" xr:uid="{B6F9DCFF-9298-4948-BF36-52C48A97B429}"/>
    <hyperlink ref="C23" r:id="rId23" xr:uid="{8747208E-894A-6A4E-8802-0BF33DA187A4}"/>
    <hyperlink ref="D25" r:id="rId24" xr:uid="{3F5BC4A2-C5D9-9A48-B425-3357AE916246}"/>
    <hyperlink ref="C26" r:id="rId25" xr:uid="{83705E8C-B092-4443-AF1C-D62E98503AC8}"/>
    <hyperlink ref="D26" r:id="rId26" xr:uid="{13E2811B-32B1-0746-9799-584414A67700}"/>
    <hyperlink ref="C27" r:id="rId27" xr:uid="{3D3A1713-E254-144A-8DB5-D5625CC9C840}"/>
    <hyperlink ref="D27" r:id="rId28" xr:uid="{A84C60D3-7C14-B147-8B56-64983ADAF8EC}"/>
    <hyperlink ref="C29" r:id="rId29" xr:uid="{EBAF5BB9-C785-E641-B60E-BAE87AED65FE}"/>
    <hyperlink ref="C32" r:id="rId30" display="Brno-Starý Lískovec, Slovakia" xr:uid="{0B41E2A8-8136-B748-AA62-3FFC0143BFAB}"/>
    <hyperlink ref="C36" r:id="rId31" xr:uid="{E1845F46-50F4-6148-8EA0-C67277D0A503}"/>
    <hyperlink ref="D36" r:id="rId32" xr:uid="{8F94DE6D-C6DE-8840-88B2-1321595CEBD6}"/>
    <hyperlink ref="C37" r:id="rId33" xr:uid="{E0B831A5-3E15-3B48-8234-95DBAA9FC49B}"/>
    <hyperlink ref="D37" r:id="rId34" xr:uid="{6FEE3227-0E94-1D47-91D9-F42E225A5CE7}"/>
    <hyperlink ref="C38" r:id="rId35" xr:uid="{166A31DC-11E2-1B42-A350-E414B597CFD7}"/>
    <hyperlink ref="C45" r:id="rId36" xr:uid="{745507AF-3226-7744-AC95-6DC9F7132321}"/>
    <hyperlink ref="C46" r:id="rId37" xr:uid="{1976350A-5D2E-ED42-91E4-BA8A6660AFCF}"/>
    <hyperlink ref="D46" r:id="rId38" xr:uid="{C33A2A0C-A0AF-F84E-845D-40CB310D5937}"/>
    <hyperlink ref="C48" r:id="rId39" xr:uid="{FCBBD746-5A14-FF4E-8A60-7CAD6E3EDE77}"/>
    <hyperlink ref="C52" r:id="rId40" xr:uid="{1394A9D4-18B9-464D-9C9A-9337E52DB5E0}"/>
    <hyperlink ref="C54" r:id="rId41" xr:uid="{D3349192-D28E-8443-A5CD-D7ED586BC101}"/>
    <hyperlink ref="D54" r:id="rId42" xr:uid="{8C99A9CE-DE84-8143-B638-0B3FC7422481}"/>
    <hyperlink ref="C55" r:id="rId43" xr:uid="{BDB54806-0092-3141-983D-23BCE050F4E9}"/>
    <hyperlink ref="C47" r:id="rId44" xr:uid="{3CD4CE20-5270-0848-A2AD-4DA78902E8FD}"/>
    <hyperlink ref="D47" r:id="rId45" xr:uid="{04D44936-3137-CE40-BDFA-6A4CD96170F8}"/>
    <hyperlink ref="C41" r:id="rId46" display="https://www.geonames.org/768338/" xr:uid="{CC017D2D-D252-8748-8B28-2B3722C316A4}"/>
    <hyperlink ref="D41" r:id="rId47" display="https://www.geonames.org/768338/" xr:uid="{1B291B39-BC6D-7243-BD58-49F5D1273FCB}"/>
    <hyperlink ref="C43" r:id="rId48" xr:uid="{9D160A99-0DEA-3742-ADD9-4CD17A22CB31}"/>
    <hyperlink ref="D43" r:id="rId49" xr:uid="{478A9B1D-AC43-2846-9F78-74C673EF8E0E}"/>
    <hyperlink ref="C44" r:id="rId50" xr:uid="{22C534D7-D817-F74F-BC97-692F652F88C1}"/>
    <hyperlink ref="D44" r:id="rId51" xr:uid="{2521A9CE-6D20-8446-968A-C7A269AC6103}"/>
    <hyperlink ref="C42" r:id="rId52" xr:uid="{D7983D9E-24D1-7A4A-9E4E-55D5F69F7585}"/>
    <hyperlink ref="D42" r:id="rId53" xr:uid="{9E79CE9C-0368-264F-B01B-DA1B7F6390CA}"/>
  </hyperlinks>
  <pageMargins left="0.7" right="0.7" top="0.75" bottom="0.75" header="0.3" footer="0.3"/>
  <legacyDrawing r:id="rId5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List of Soldiers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Vladimir Berkovich</cp:lastModifiedBy>
  <dcterms:created xsi:type="dcterms:W3CDTF">2023-01-23T12:25:04Z</dcterms:created>
  <dcterms:modified xsi:type="dcterms:W3CDTF">2024-04-09T11:00:41Z</dcterms:modified>
</cp:coreProperties>
</file>